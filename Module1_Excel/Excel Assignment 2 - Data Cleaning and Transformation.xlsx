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e68169d8ea69c824/Desktop/Ranjani/Data Analytics/Module 1 Excel/"/>
    </mc:Choice>
  </mc:AlternateContent>
  <xr:revisionPtr revIDLastSave="126" documentId="14_{BAB4D1E9-D89E-4672-8466-121C456A4517}" xr6:coauthVersionLast="47" xr6:coauthVersionMax="47" xr10:uidLastSave="{9E27DFF8-A320-4FC6-8941-1719E106FE30}"/>
  <bookViews>
    <workbookView xWindow="-110" yWindow="-110" windowWidth="19420" windowHeight="10300" activeTab="3" xr2:uid="{00000000-000D-0000-FFFF-FFFF00000000}"/>
  </bookViews>
  <sheets>
    <sheet name="Instructions" sheetId="1" r:id="rId1"/>
    <sheet name="Dataset" sheetId="2" r:id="rId2"/>
    <sheet name="Assignment2-Excel" sheetId="3" r:id="rId3"/>
    <sheet name="Assignment 2 Tried in PQ" sheetId="6" r:id="rId4"/>
    <sheet name="Data set PQ" sheetId="4" r:id="rId5"/>
  </sheets>
  <definedNames>
    <definedName name="_xlnm._FilterDatabase" localSheetId="2" hidden="1">'Assignment2-Excel'!$A$1:$F$32</definedName>
    <definedName name="ExternalData_1" localSheetId="3" hidden="1">'Assignment 2 Tried in PQ'!$A$1:$H$32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F34" i="3"/>
  <c r="F33" i="3"/>
  <c r="D33" i="3"/>
  <c r="M14" i="3"/>
  <c r="M19" i="3"/>
  <c r="M22" i="3"/>
  <c r="M32" i="3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L15" i="3"/>
  <c r="M15" i="3" s="1"/>
  <c r="L16" i="3"/>
  <c r="M16" i="3" s="1"/>
  <c r="L17" i="3"/>
  <c r="M17" i="3" s="1"/>
  <c r="L18" i="3"/>
  <c r="M18" i="3" s="1"/>
  <c r="L19" i="3"/>
  <c r="L20" i="3"/>
  <c r="M20" i="3" s="1"/>
  <c r="L21" i="3"/>
  <c r="M21" i="3" s="1"/>
  <c r="L22" i="3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3CA5B-4564-4E8D-8C72-2A4B11F5B0FD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614CC9D3-10F9-455A-8AFC-A4A619EDA22B}" keepAlive="1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<sst xmlns="http://schemas.openxmlformats.org/spreadsheetml/2006/main" count="642" uniqueCount="202">
  <si>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</si>
  <si>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</si>
  <si>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</si>
  <si>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</si>
  <si>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</si>
  <si>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</si>
  <si>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</si>
  <si>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</si>
  <si>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</si>
  <si>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</si>
  <si>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</si>
  <si>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</si>
  <si>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</si>
  <si>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</si>
  <si>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</si>
  <si>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</si>
  <si>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</si>
  <si>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</si>
  <si>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</si>
  <si>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</si>
  <si>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</si>
  <si>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</si>
  <si>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</si>
  <si>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</si>
  <si>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</si>
  <si>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</si>
  <si>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</si>
  <si>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</si>
  <si>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</si>
  <si>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</si>
  <si>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</si>
  <si>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</si>
  <si>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</si>
  <si>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</si>
  <si>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</si>
  <si>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</si>
  <si>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</si>
  <si>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</si>
  <si>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</si>
  <si>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</si>
  <si>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</si>
  <si>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</si>
  <si>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</si>
  <si>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</si>
  <si>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</si>
  <si>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</si>
  <si>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</si>
  <si>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</si>
  <si>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</si>
  <si>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</si>
  <si>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</si>
  <si>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</si>
  <si>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</si>
  <si>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</si>
  <si>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</si>
  <si>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</si>
  <si>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</si>
  <si>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</si>
  <si>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</si>
  <si>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</si>
  <si>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</si>
  <si>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</si>
  <si>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</si>
  <si>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</si>
  <si>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</si>
  <si>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</si>
  <si>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</si>
  <si>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</si>
  <si>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</si>
  <si>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</si>
  <si>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</si>
  <si>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</si>
  <si>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</si>
  <si>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</si>
  <si>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</si>
  <si>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</si>
  <si>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</si>
  <si>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</si>
  <si>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</si>
  <si>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</si>
  <si>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</si>
  <si>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</si>
  <si>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</si>
  <si>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</si>
  <si>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</si>
  <si>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</si>
  <si>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</si>
  <si>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</si>
  <si>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</si>
  <si>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</si>
  <si>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</si>
  <si>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</si>
  <si>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</si>
  <si>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</si>
  <si>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</si>
  <si>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</si>
  <si>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</si>
  <si>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</si>
  <si>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</si>
  <si>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</si>
  <si>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</si>
  <si>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</si>
  <si>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</si>
  <si>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</si>
  <si>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</si>
  <si>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</si>
  <si>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</si>
  <si>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</si>
  <si>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</si>
  <si>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</si>
  <si>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</si>
  <si>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</si>
  <si>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</si>
  <si>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</si>
  <si>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</si>
  <si>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</si>
  <si>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Answers</t>
  </si>
  <si>
    <t>Imputation process, for numerical column impute Mean or Median</t>
  </si>
  <si>
    <t>Function : IF and ISBLANK</t>
  </si>
  <si>
    <t>Missing Price Average Find</t>
  </si>
  <si>
    <t>Count Blank</t>
  </si>
  <si>
    <t>Imputation process, for categorical column can use constant/default values "Unknown" or statistical</t>
  </si>
  <si>
    <t>Missing Categories Find</t>
  </si>
  <si>
    <t>measures such as Mean (Average).</t>
  </si>
  <si>
    <t>Category Mean</t>
  </si>
  <si>
    <t xml:space="preserve">• Use the find and replace function to standardize the text formats in the "Product Name" column and fix any typos </t>
  </si>
  <si>
    <t>or misspellings in the "Category" column.</t>
  </si>
  <si>
    <t>laptop-Laptop,smartphone-Smartphone,headphones-Headphone.</t>
  </si>
  <si>
    <t>Electroni-Electronics</t>
  </si>
  <si>
    <t>Function: Find and Replaced Product Name (laptop-Laptop,smartphone-Smartphone,headphones-Headphone.)</t>
  </si>
  <si>
    <t>Category (Electroni-Electronics)</t>
  </si>
  <si>
    <t>(Answer : $297.86)</t>
  </si>
  <si>
    <t xml:space="preserve">Refer to Column G, Table Title: Missing Price Average Find,  Cell Ref G7, G21, G26. </t>
  </si>
  <si>
    <t>Function : Count Blank for counting no.of blank cells (4 blank cells refer to Cell Ref F33)</t>
  </si>
  <si>
    <t xml:space="preserve">Remove Duplicates - 3 Duplicates removed </t>
  </si>
  <si>
    <t xml:space="preserve">• Split the "Product ID" column into two separate columns for " Manufacturing Date" and "Country Code". Remove </t>
  </si>
  <si>
    <t>unnecessary characters, if any.</t>
  </si>
  <si>
    <t>Manufacturing Date</t>
  </si>
  <si>
    <t>Country Code</t>
  </si>
  <si>
    <t>Function: Concatenate (Merging) (Refer to Column K)</t>
  </si>
  <si>
    <t>Function : Left for Manufacturing Date and Right for Country Code (Refer to Column I and J)</t>
  </si>
  <si>
    <t>Product Brand</t>
  </si>
  <si>
    <t>Manufactruing Date</t>
  </si>
  <si>
    <t>Function:DateValue (Refer to Column M)</t>
  </si>
  <si>
    <t xml:space="preserve">• Create a custom rule for conditional formatting in the "Category" column to highlight cells where the </t>
  </si>
  <si>
    <t>category is "Electronics."</t>
  </si>
  <si>
    <t>Highlight Cell Rules (Refer to Column F)</t>
  </si>
  <si>
    <t>Format for Manufacturing Date</t>
  </si>
  <si>
    <t>Function : Count Blank for counting no.of blank cells (3 blank cells refer to Cell Ref D33)</t>
  </si>
  <si>
    <t>Refer to Column H, Table Title: Missing Category Find, Cell Ref H6, H13, H14, H24.</t>
  </si>
  <si>
    <t>Number Format Group: Currency (Refer to Column D)</t>
  </si>
  <si>
    <t>Questions</t>
  </si>
  <si>
    <t>Function : IF and ISBLANK  (Unknown Strategy) or else can use Electronics since Category Mode High</t>
  </si>
  <si>
    <t>US</t>
  </si>
  <si>
    <t>Laptop Dell</t>
  </si>
  <si>
    <t>Sneakers Nike</t>
  </si>
  <si>
    <t>Coffee Maker Keurig</t>
  </si>
  <si>
    <t>Smartphone Samsung</t>
  </si>
  <si>
    <t>Backpack North Face</t>
  </si>
  <si>
    <t>UK</t>
  </si>
  <si>
    <t>Headphones Sony</t>
  </si>
  <si>
    <t>T-Shirt</t>
  </si>
  <si>
    <t>T-Shirt Adidas</t>
  </si>
  <si>
    <t>Blender Ninja</t>
  </si>
  <si>
    <t>Tablet Apple</t>
  </si>
  <si>
    <t>Hiking Boots Timberland</t>
  </si>
  <si>
    <t>IN</t>
  </si>
  <si>
    <t>Laptop HP</t>
  </si>
  <si>
    <t>AU</t>
  </si>
  <si>
    <t>Sneakers Adidas</t>
  </si>
  <si>
    <t>DE</t>
  </si>
  <si>
    <t>Coffee Maker Nespresso</t>
  </si>
  <si>
    <t>CA</t>
  </si>
  <si>
    <t>Smartwatch Fitbit</t>
  </si>
  <si>
    <t>ES</t>
  </si>
  <si>
    <t>Headphones Bose</t>
  </si>
  <si>
    <t>Laptop Bag Samsonite</t>
  </si>
  <si>
    <t>CN</t>
  </si>
  <si>
    <t>Smartwatch Huawei</t>
  </si>
  <si>
    <t>IT</t>
  </si>
  <si>
    <t>Laptop Asus</t>
  </si>
  <si>
    <t>Sunglasses Oakley</t>
  </si>
  <si>
    <t>Camping Tent Coleman</t>
  </si>
  <si>
    <t>RU</t>
  </si>
  <si>
    <t>Camera Nikon</t>
  </si>
  <si>
    <t>Microwave Panasonic</t>
  </si>
  <si>
    <t>BR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</si>
  <si>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</si>
  <si>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</si>
  <si>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</si>
  <si>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</si>
  <si>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</si>
  <si>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</si>
  <si>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</si>
  <si>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</si>
  <si>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FR</t>
  </si>
  <si>
    <t>Watch Casio</t>
  </si>
  <si>
    <t>Data Bar Applied (Refer to Column D)</t>
  </si>
  <si>
    <t>ScreenShots Some:-</t>
  </si>
  <si>
    <t>Remarks:</t>
  </si>
  <si>
    <t xml:space="preserve"> - Null Values in Category Column used (Mode) "Electronics" instead of "Unknown" Strategy</t>
  </si>
  <si>
    <t xml:space="preserve"> - Used Replace value functions to Replace null values into data (for Price Column and Category Column)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</si>
</sst>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1010000]d/m/yyyy;@"/>
    <numFmt numFmtId="165" formatCode="dd\-mm\-yyyy;@"/>
  </numFmts>
  <fonts count="2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4"/>
      <name val="Arial"/>
      <family val="2"/>
      <scheme val="minor"/>
    </font>
    <font>
      <b/>
      <u/>
      <sz val="12"/>
      <color rgb="FF7030A0"/>
      <name val="Times New Roman"/>
      <family val="1"/>
    </font>
    <font>
      <sz val="12"/>
      <color rgb="FF7030A0"/>
      <name val="Times New Roman"/>
      <family val="1"/>
    </font>
    <font>
      <b/>
      <u/>
      <sz val="10"/>
      <color rgb="FFFF0000"/>
      <name val="Arial"/>
      <family val="2"/>
      <scheme val="minor"/>
    </font>
    <font>
      <b/>
      <u/>
      <sz val="12"/>
      <color rgb="FF7030A0"/>
      <name val="Arial"/>
      <family val="2"/>
      <scheme val="minor"/>
    </font>
    <font>
      <sz val="12"/>
      <color rgb="FF7030A0"/>
      <name val="Arial"/>
      <family val="2"/>
      <scheme val="minor"/>
    </font>
    <font>
      <sz val="10"/>
      <color rgb="FF7030A0"/>
      <name val="Arial"/>
      <family val="2"/>
      <scheme val="minor"/>
    </font>
    <font>
      <b/>
      <u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10" fillId="0" borderId="0" xfId="0" applyFont="1"/>
    <xf numFmtId="0" fontId="11" fillId="0" borderId="0" xfId="0" applyFont="1"/>
    <xf numFmtId="44" fontId="0" fillId="0" borderId="0" xfId="1" applyFont="1"/>
    <xf numFmtId="0" fontId="0" fillId="0" borderId="0" xfId="0" applyAlignment="1">
      <alignment horizontal="center"/>
    </xf>
    <xf numFmtId="0" fontId="9" fillId="0" borderId="0" xfId="0" applyFont="1"/>
    <xf numFmtId="0" fontId="14" fillId="4" borderId="0" xfId="0" applyFont="1" applyFill="1" applyAlignment="1">
      <alignment horizontal="center"/>
    </xf>
    <xf numFmtId="0" fontId="13" fillId="4" borderId="0" xfId="0" applyFont="1" applyFill="1"/>
    <xf numFmtId="0" fontId="9" fillId="3" borderId="0" xfId="0" applyFont="1" applyFill="1"/>
    <xf numFmtId="44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44" fontId="0" fillId="0" borderId="6" xfId="1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44" fontId="0" fillId="0" borderId="8" xfId="1" applyNumberFormat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44" fontId="5" fillId="0" borderId="0" xfId="1" applyFont="1"/>
    <xf numFmtId="44" fontId="5" fillId="3" borderId="0" xfId="1" applyFont="1" applyFill="1"/>
    <xf numFmtId="0" fontId="10" fillId="0" borderId="1" xfId="0" applyFont="1" applyBorder="1"/>
    <xf numFmtId="0" fontId="10" fillId="0" borderId="0" xfId="0" applyFont="1" applyBorder="1"/>
    <xf numFmtId="0" fontId="0" fillId="0" borderId="0" xfId="0" applyBorder="1"/>
    <xf numFmtId="0" fontId="10" fillId="0" borderId="2" xfId="0" applyFont="1" applyBorder="1"/>
    <xf numFmtId="0" fontId="2" fillId="0" borderId="1" xfId="0" applyFont="1" applyBorder="1"/>
    <xf numFmtId="0" fontId="0" fillId="0" borderId="2" xfId="0" applyBorder="1"/>
    <xf numFmtId="0" fontId="3" fillId="0" borderId="1" xfId="0" applyFont="1" applyBorder="1"/>
    <xf numFmtId="0" fontId="0" fillId="0" borderId="1" xfId="0" applyBorder="1"/>
    <xf numFmtId="0" fontId="15" fillId="0" borderId="1" xfId="0" applyFont="1" applyBorder="1"/>
    <xf numFmtId="0" fontId="5" fillId="0" borderId="0" xfId="0" applyFont="1" applyBorder="1"/>
    <xf numFmtId="0" fontId="16" fillId="0" borderId="1" xfId="0" applyFont="1" applyBorder="1"/>
    <xf numFmtId="0" fontId="15" fillId="0" borderId="3" xfId="0" applyFont="1" applyBorder="1"/>
    <xf numFmtId="0" fontId="0" fillId="0" borderId="4" xfId="0" applyBorder="1"/>
    <xf numFmtId="0" fontId="0" fillId="0" borderId="5" xfId="0" applyBorder="1"/>
    <xf numFmtId="44" fontId="14" fillId="0" borderId="6" xfId="1" applyNumberFormat="1" applyFont="1" applyFill="1" applyBorder="1" applyAlignment="1">
      <alignment horizontal="center" vertical="center"/>
    </xf>
    <xf numFmtId="44" fontId="17" fillId="0" borderId="0" xfId="1" applyFont="1" applyFill="1" applyBorder="1" applyAlignment="1">
      <alignment horizontal="center" vertical="center"/>
    </xf>
    <xf numFmtId="0" fontId="18" fillId="5" borderId="15" xfId="0" applyFont="1" applyFill="1" applyBorder="1"/>
    <xf numFmtId="0" fontId="18" fillId="5" borderId="16" xfId="0" applyFont="1" applyFill="1" applyBorder="1"/>
    <xf numFmtId="0" fontId="19" fillId="5" borderId="16" xfId="0" applyFont="1" applyFill="1" applyBorder="1"/>
    <xf numFmtId="0" fontId="18" fillId="5" borderId="17" xfId="0" applyFont="1" applyFill="1" applyBorder="1"/>
    <xf numFmtId="0" fontId="18" fillId="0" borderId="0" xfId="0" applyFont="1"/>
    <xf numFmtId="0" fontId="20" fillId="0" borderId="0" xfId="0" applyFont="1"/>
    <xf numFmtId="0" fontId="21" fillId="0" borderId="1" xfId="0" applyFont="1" applyBorder="1"/>
    <xf numFmtId="0" fontId="22" fillId="0" borderId="1" xfId="0" applyFont="1" applyBorder="1"/>
    <xf numFmtId="0" fontId="19" fillId="0" borderId="1" xfId="0" applyFont="1" applyBorder="1"/>
    <xf numFmtId="0" fontId="23" fillId="0" borderId="0" xfId="0" applyFont="1" applyBorder="1"/>
    <xf numFmtId="0" fontId="24" fillId="5" borderId="15" xfId="0" applyFont="1" applyFill="1" applyBorder="1"/>
    <xf numFmtId="0" fontId="23" fillId="0" borderId="3" xfId="0" applyFont="1" applyBorder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127000</xdr:colOff>
      <xdr:row>31</xdr:row>
      <xdr:rowOff>114300</xdr:rowOff>
    </xdr:from>
    <xdr:to>
      <xdr:col>16</xdr:col>
      <xdr:colOff>81846</xdr:colOff>
      <xdr:row>48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391A46-DE34-4712-9E13-DE57725F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6019800"/>
          <a:ext cx="4831646" cy="271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16</xdr:row>
      <xdr:rowOff>20637</xdr:rowOff>
    </xdr:from>
    <xdr:to>
      <xdr:col>16</xdr:col>
      <xdr:colOff>247650</xdr:colOff>
      <xdr:row>30</xdr:row>
      <xdr:rowOff>182563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DC43F-0E77-4CC1-9478-507B8D75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3068637"/>
          <a:ext cx="5029200" cy="282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99486</xdr:colOff>
      <xdr:row>1</xdr:row>
      <xdr:rowOff>105568</xdr:rowOff>
    </xdr:from>
    <xdr:to>
      <xdr:col>23</xdr:col>
      <xdr:colOff>442382</xdr:colOff>
      <xdr:row>15</xdr:row>
      <xdr:rowOff>31749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87EE95-EA57-45B3-A8C6-4720A08C6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8736" y="296068"/>
          <a:ext cx="4610096" cy="2593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320323</xdr:colOff>
      <xdr:row>16</xdr:row>
      <xdr:rowOff>38100</xdr:rowOff>
    </xdr:from>
    <xdr:to>
      <xdr:col>23</xdr:col>
      <xdr:colOff>568677</xdr:colOff>
      <xdr:row>29</xdr:row>
      <xdr:rowOff>101600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4B5EEB-8584-445E-B30F-C93966E2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9573" y="3086100"/>
          <a:ext cx="4515554" cy="2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82550</xdr:colOff>
      <xdr:row>1</xdr:row>
      <xdr:rowOff>63500</xdr:rowOff>
    </xdr:from>
    <xdr:to>
      <xdr:col>16</xdr:col>
      <xdr:colOff>31750</xdr:colOff>
      <xdr:row>15</xdr:row>
      <xdr:rowOff>111124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CA2A6B-4768-4FBE-B0BE-A523572E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54000"/>
          <a:ext cx="4826000" cy="2714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494A35-0E21-4178-A742-9F14EC36003A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ice ($)" tableColumnId="5"/>
      <queryTableField id="6" name="Quantity" tableColumnId="6"/>
      <queryTableField id="7" name="Category" tableColumnId="7"/>
      <queryTableField id="8" name="Product Bran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D5B8BD-6CCE-47DD-8A47-D596AC551ADD}" name="Table1__2" displayName="Table1__2" ref="A1:H32" tableType="queryTable" totalsRowShown="0" dataDxfId="16">
  <autoFilter ref="A1:H32" xr:uid="{8CD5B8BD-6CCE-47DD-8A47-D596AC551ADD}"/>
  <tableColumns count="8">
    <tableColumn id="1" xr3:uid="{E9CD0D0D-DF6D-482A-93DC-550D7F86346C}" uniqueName="1" name="Manufacturing Date" queryTableFieldId="1" dataDxfId="15"/>
    <tableColumn id="2" xr3:uid="{7FFDCE41-B67B-4E67-8196-F2338BE8D0B3}" uniqueName="2" name="Country Code" queryTableFieldId="2" dataDxfId="14"/>
    <tableColumn id="3" xr3:uid="{BEA08AB7-1ABF-4B57-A595-3E8BB407048D}" uniqueName="3" name="Product Name" queryTableFieldId="3" dataDxfId="13"/>
    <tableColumn id="4" xr3:uid="{EFD39A61-DA53-4561-9463-86E75FB3D24A}" uniqueName="4" name="Brand Name" queryTableFieldId="4" dataDxfId="12"/>
    <tableColumn id="5" xr3:uid="{CC2EED6F-51D7-4873-AD5D-6BC895DCE248}" uniqueName="5" name="Price ($)" queryTableFieldId="5" dataDxfId="11" dataCellStyle="Currency"/>
    <tableColumn id="6" xr3:uid="{83931E04-9096-4F35-AB1F-3D7B6755D075}" uniqueName="6" name="Quantity" queryTableFieldId="6" dataDxfId="10"/>
    <tableColumn id="7" xr3:uid="{74E9FB6A-029C-47A3-B2B9-21DFE1BFD363}" uniqueName="7" name="Category" queryTableFieldId="7" dataDxfId="9"/>
    <tableColumn id="8" xr3:uid="{2DEF2C0E-A5FD-4A4B-AB57-497279A0DDD0}" uniqueName="8" name="Product Brand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DD7709-7D9B-49D2-81CA-4E194896AEA0}" name="Table1" displayName="Table1" ref="A1:F35" totalsRowShown="0" headerRowDxfId="7" dataDxfId="6">
  <autoFilter ref="A1:F35" xr:uid="{43DD7709-7D9B-49D2-81CA-4E194896AEA0}"/>
  <tableColumns count="6">
    <tableColumn id="1" xr3:uid="{6398E739-B9B0-41A2-8982-543829A28B3A}" name="Product ID" dataDxfId="5"/>
    <tableColumn id="2" xr3:uid="{2E8C7F53-EFC7-4C63-BCCF-91F7C7D638C0}" name="Product Name" dataDxfId="4"/>
    <tableColumn id="3" xr3:uid="{8A51AC44-9068-485B-A945-66BAB63D28B1}" name="Brand Name" dataDxfId="3"/>
    <tableColumn id="4" xr3:uid="{98F58028-1EFD-4A2A-88DA-2807F82E00F8}" name="Price ($)" dataDxfId="2"/>
    <tableColumn id="5" xr3:uid="{D0762270-ECDF-4380-AC0E-79BE11B39DA2}" name="Quantity" dataDxfId="1"/>
    <tableColumn id="6" xr3:uid="{986ABE1F-A14E-4113-8ED1-53B1F623D313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G33" sqref="G33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opLeftCell="A14" workbookViewId="0">
      <selection activeCell="F37" sqref="F37"/>
    </sheetView>
  </sheetViews>
  <sheetFormatPr defaultColWidth="12.6328125" defaultRowHeight="15" customHeight="1" x14ac:dyDescent="0.25"/>
  <cols>
    <col min="1" max="6" width="12.6328125" customWidth="1"/>
  </cols>
  <sheetData>
    <row r="1" spans="1: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0C37-F71B-4856-A143-B45E3824BD09}">
  <sheetPr>
    <tabColor theme="9"/>
  </sheetPr>
  <dimension ref="A1:O1003"/>
  <sheetViews>
    <sheetView topLeftCell="C1" workbookViewId="0">
      <selection activeCell="H1" sqref="H1:H1048576"/>
    </sheetView>
  </sheetViews>
  <sheetFormatPr defaultColWidth="12.6328125" defaultRowHeight="12.5" x14ac:dyDescent="0.25"/>
  <cols>
    <col min="2" max="2" width="18" bestFit="1" customWidth="1"/>
    <col min="7" max="7" width="13.6328125" bestFit="1" customWidth="1"/>
    <col min="9" max="9" width="13.36328125" customWidth="1"/>
    <col min="11" max="11" width="20.6328125" customWidth="1"/>
    <col min="12" max="12" width="13.81640625" hidden="1" customWidth="1"/>
    <col min="13" max="13" width="15.1796875" customWidth="1"/>
  </cols>
  <sheetData>
    <row r="1" spans="1:13" ht="40.25" customHeight="1" thickBot="1" x14ac:dyDescent="0.3">
      <c r="A1" s="33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4" t="s">
        <v>24</v>
      </c>
      <c r="G1" s="29" t="s">
        <v>119</v>
      </c>
      <c r="H1" s="30" t="s">
        <v>122</v>
      </c>
      <c r="I1" s="31" t="s">
        <v>137</v>
      </c>
      <c r="J1" s="31" t="s">
        <v>138</v>
      </c>
      <c r="K1" s="31" t="s">
        <v>141</v>
      </c>
      <c r="L1" s="31" t="s">
        <v>142</v>
      </c>
      <c r="M1" s="32" t="s">
        <v>147</v>
      </c>
    </row>
    <row r="2" spans="1:13" ht="15.75" customHeight="1" x14ac:dyDescent="0.25">
      <c r="A2" s="5" t="s">
        <v>25</v>
      </c>
      <c r="B2" s="5" t="s">
        <v>61</v>
      </c>
      <c r="C2" s="5" t="s">
        <v>27</v>
      </c>
      <c r="D2" s="35">
        <v>1000</v>
      </c>
      <c r="E2" s="5">
        <v>30</v>
      </c>
      <c r="F2" s="13" t="s">
        <v>28</v>
      </c>
      <c r="G2" s="21">
        <f>IF(ISBLANK(D2),AVERAGE($D$2:$D$32),D2)</f>
        <v>1000</v>
      </c>
      <c r="H2" s="17" t="str">
        <f t="shared" ref="H2:H32" si="0">IF(ISBLANK(F2),"Unknown",F2)</f>
        <v>Electronics</v>
      </c>
      <c r="I2" s="17" t="str">
        <f>LEFT(A2,2)</f>
        <v>28</v>
      </c>
      <c r="J2" s="18" t="str">
        <f>RIGHT(A2,2)</f>
        <v>US</v>
      </c>
      <c r="K2" s="19" t="str">
        <f>CONCATENATE(B2,C2)</f>
        <v>LaptopDell</v>
      </c>
      <c r="L2" s="20" t="str">
        <f>LEFT(A2,6)</f>
        <v>28-JAN</v>
      </c>
      <c r="M2" s="22">
        <f>DATEVALUE(L2)</f>
        <v>45685</v>
      </c>
    </row>
    <row r="3" spans="1:13" ht="15.75" customHeight="1" x14ac:dyDescent="0.25">
      <c r="A3" s="8" t="s">
        <v>29</v>
      </c>
      <c r="B3" s="8" t="s">
        <v>30</v>
      </c>
      <c r="C3" s="8" t="s">
        <v>31</v>
      </c>
      <c r="D3" s="36">
        <v>80</v>
      </c>
      <c r="E3" s="8">
        <v>15</v>
      </c>
      <c r="F3" s="8" t="s">
        <v>32</v>
      </c>
      <c r="G3" s="21">
        <f t="shared" ref="G3:G32" si="1">IF(ISBLANK(D3),AVERAGE($D$2:$D$32),D3)</f>
        <v>80</v>
      </c>
      <c r="H3" s="17" t="str">
        <f t="shared" si="0"/>
        <v>Fashion</v>
      </c>
      <c r="I3" s="17" t="str">
        <f t="shared" ref="I3:I35" si="2">LEFT(A3,2)</f>
        <v>15</v>
      </c>
      <c r="J3" s="18" t="str">
        <f t="shared" ref="J3:J35" si="3">RIGHT(A3,2)</f>
        <v>US</v>
      </c>
      <c r="K3" s="19" t="str">
        <f t="shared" ref="K3:K32" si="4">CONCATENATE(B3,C3)</f>
        <v>SneakersNike</v>
      </c>
      <c r="L3" s="20" t="str">
        <f t="shared" ref="L3:L32" si="5">LEFT(A3,6)</f>
        <v>15-FEB</v>
      </c>
      <c r="M3" s="22">
        <f t="shared" ref="M3:M32" si="6">DATEVALUE(L3)</f>
        <v>45703</v>
      </c>
    </row>
    <row r="4" spans="1:13" ht="15.75" customHeight="1" x14ac:dyDescent="0.25">
      <c r="A4" s="5" t="s">
        <v>33</v>
      </c>
      <c r="B4" s="13" t="s">
        <v>34</v>
      </c>
      <c r="C4" s="5" t="s">
        <v>35</v>
      </c>
      <c r="D4" s="35">
        <v>130</v>
      </c>
      <c r="E4" s="5">
        <v>40</v>
      </c>
      <c r="F4" s="5" t="s">
        <v>36</v>
      </c>
      <c r="G4" s="21">
        <f t="shared" si="1"/>
        <v>130</v>
      </c>
      <c r="H4" s="17" t="str">
        <f t="shared" si="0"/>
        <v>Kitchen</v>
      </c>
      <c r="I4" s="17" t="str">
        <f t="shared" si="2"/>
        <v>03</v>
      </c>
      <c r="J4" s="18" t="str">
        <f t="shared" si="3"/>
        <v>US</v>
      </c>
      <c r="K4" s="19" t="str">
        <f t="shared" si="4"/>
        <v>Coffee MakerKeurig</v>
      </c>
      <c r="L4" s="20" t="str">
        <f t="shared" si="5"/>
        <v>03-MAR</v>
      </c>
      <c r="M4" s="22">
        <f t="shared" si="6"/>
        <v>45719</v>
      </c>
    </row>
    <row r="5" spans="1:13" ht="15.75" customHeight="1" x14ac:dyDescent="0.25">
      <c r="A5" s="8" t="s">
        <v>37</v>
      </c>
      <c r="B5" s="8" t="s">
        <v>96</v>
      </c>
      <c r="C5" s="8" t="s">
        <v>39</v>
      </c>
      <c r="D5" s="36">
        <v>900</v>
      </c>
      <c r="E5" s="8">
        <v>25</v>
      </c>
      <c r="F5" s="8" t="s">
        <v>28</v>
      </c>
      <c r="G5" s="21">
        <f t="shared" si="1"/>
        <v>900</v>
      </c>
      <c r="H5" s="17" t="str">
        <f t="shared" si="0"/>
        <v>Electronics</v>
      </c>
      <c r="I5" s="17" t="str">
        <f t="shared" si="2"/>
        <v>11</v>
      </c>
      <c r="J5" s="18" t="str">
        <f t="shared" si="3"/>
        <v>US</v>
      </c>
      <c r="K5" s="19" t="str">
        <f t="shared" si="4"/>
        <v>SmartphoneSamsung</v>
      </c>
      <c r="L5" s="20" t="str">
        <f t="shared" si="5"/>
        <v>11-APR</v>
      </c>
      <c r="M5" s="22">
        <f t="shared" si="6"/>
        <v>45758</v>
      </c>
    </row>
    <row r="6" spans="1:13" ht="15.75" customHeight="1" x14ac:dyDescent="0.25">
      <c r="A6" s="5" t="s">
        <v>40</v>
      </c>
      <c r="B6" s="5" t="s">
        <v>41</v>
      </c>
      <c r="C6" s="5" t="s">
        <v>42</v>
      </c>
      <c r="D6" s="35">
        <v>70</v>
      </c>
      <c r="E6" s="5">
        <v>20</v>
      </c>
      <c r="F6" s="5"/>
      <c r="G6" s="21">
        <f t="shared" si="1"/>
        <v>70</v>
      </c>
      <c r="H6" s="52" t="str">
        <f t="shared" si="0"/>
        <v>Unknown</v>
      </c>
      <c r="I6" s="17" t="str">
        <f t="shared" si="2"/>
        <v>22</v>
      </c>
      <c r="J6" s="18" t="str">
        <f t="shared" si="3"/>
        <v>US</v>
      </c>
      <c r="K6" s="19" t="str">
        <f t="shared" si="4"/>
        <v>BackpackNorth Face</v>
      </c>
      <c r="L6" s="20" t="str">
        <f t="shared" si="5"/>
        <v>22-MAY</v>
      </c>
      <c r="M6" s="22">
        <f t="shared" si="6"/>
        <v>45799</v>
      </c>
    </row>
    <row r="7" spans="1:13" ht="15.75" customHeight="1" x14ac:dyDescent="0.25">
      <c r="A7" s="8" t="s">
        <v>43</v>
      </c>
      <c r="B7" s="8" t="s">
        <v>44</v>
      </c>
      <c r="C7" s="8" t="s">
        <v>45</v>
      </c>
      <c r="D7" s="36"/>
      <c r="E7" s="8">
        <v>45</v>
      </c>
      <c r="F7" s="8" t="s">
        <v>28</v>
      </c>
      <c r="G7" s="51">
        <f t="shared" si="1"/>
        <v>297.85714285714283</v>
      </c>
      <c r="H7" s="17" t="str">
        <f t="shared" si="0"/>
        <v>Electronics</v>
      </c>
      <c r="I7" s="17" t="str">
        <f t="shared" si="2"/>
        <v>07</v>
      </c>
      <c r="J7" s="18" t="str">
        <f t="shared" si="3"/>
        <v>UK</v>
      </c>
      <c r="K7" s="19" t="str">
        <f t="shared" si="4"/>
        <v>HeadphonesSony</v>
      </c>
      <c r="L7" s="20" t="str">
        <f t="shared" si="5"/>
        <v>07-JUN</v>
      </c>
      <c r="M7" s="22">
        <f t="shared" si="6"/>
        <v>45815</v>
      </c>
    </row>
    <row r="8" spans="1:13" ht="15.75" customHeight="1" x14ac:dyDescent="0.25">
      <c r="A8" s="13" t="s">
        <v>47</v>
      </c>
      <c r="B8" s="5" t="s">
        <v>48</v>
      </c>
      <c r="C8" s="5" t="s">
        <v>49</v>
      </c>
      <c r="D8" s="35">
        <v>30</v>
      </c>
      <c r="E8" s="5">
        <v>5</v>
      </c>
      <c r="F8" s="5" t="s">
        <v>32</v>
      </c>
      <c r="G8" s="21">
        <f t="shared" si="1"/>
        <v>30</v>
      </c>
      <c r="H8" s="17" t="str">
        <f t="shared" si="0"/>
        <v>Fashion</v>
      </c>
      <c r="I8" s="17" t="str">
        <f t="shared" si="2"/>
        <v>19</v>
      </c>
      <c r="J8" s="18" t="str">
        <f t="shared" si="3"/>
        <v>UK</v>
      </c>
      <c r="K8" s="19" t="str">
        <f t="shared" si="4"/>
        <v>T-shirtAdidas</v>
      </c>
      <c r="L8" s="20" t="str">
        <f t="shared" si="5"/>
        <v>19-JUL</v>
      </c>
      <c r="M8" s="22">
        <f t="shared" si="6"/>
        <v>45857</v>
      </c>
    </row>
    <row r="9" spans="1:13" ht="15.75" customHeight="1" x14ac:dyDescent="0.25">
      <c r="A9" s="8" t="s">
        <v>50</v>
      </c>
      <c r="B9" s="8" t="s">
        <v>51</v>
      </c>
      <c r="C9" s="8" t="s">
        <v>52</v>
      </c>
      <c r="D9" s="36">
        <v>90</v>
      </c>
      <c r="E9" s="8">
        <v>35</v>
      </c>
      <c r="F9" s="8" t="s">
        <v>36</v>
      </c>
      <c r="G9" s="21">
        <f t="shared" si="1"/>
        <v>90</v>
      </c>
      <c r="H9" s="17" t="str">
        <f t="shared" si="0"/>
        <v>Kitchen</v>
      </c>
      <c r="I9" s="17" t="str">
        <f t="shared" si="2"/>
        <v>23</v>
      </c>
      <c r="J9" s="18" t="str">
        <f t="shared" si="3"/>
        <v>UK</v>
      </c>
      <c r="K9" s="19" t="str">
        <f t="shared" si="4"/>
        <v>BlenderNinja</v>
      </c>
      <c r="L9" s="20" t="str">
        <f t="shared" si="5"/>
        <v>23-AUG</v>
      </c>
      <c r="M9" s="22">
        <f t="shared" si="6"/>
        <v>45892</v>
      </c>
    </row>
    <row r="10" spans="1:13" ht="15.75" customHeight="1" x14ac:dyDescent="0.25">
      <c r="A10" s="5" t="s">
        <v>53</v>
      </c>
      <c r="B10" s="5" t="s">
        <v>54</v>
      </c>
      <c r="C10" s="5" t="s">
        <v>55</v>
      </c>
      <c r="D10" s="35">
        <v>500</v>
      </c>
      <c r="E10" s="5">
        <v>50</v>
      </c>
      <c r="F10" s="5" t="s">
        <v>28</v>
      </c>
      <c r="G10" s="21">
        <f t="shared" si="1"/>
        <v>500</v>
      </c>
      <c r="H10" s="17" t="str">
        <f t="shared" si="0"/>
        <v>Electronics</v>
      </c>
      <c r="I10" s="17" t="str">
        <f t="shared" si="2"/>
        <v>05</v>
      </c>
      <c r="J10" s="18" t="str">
        <f t="shared" si="3"/>
        <v>UK</v>
      </c>
      <c r="K10" s="19" t="str">
        <f t="shared" si="4"/>
        <v>TabletApple</v>
      </c>
      <c r="L10" s="20" t="str">
        <f t="shared" si="5"/>
        <v>05-SEP</v>
      </c>
      <c r="M10" s="22">
        <f t="shared" si="6"/>
        <v>45905</v>
      </c>
    </row>
    <row r="11" spans="1:13" ht="15.75" customHeight="1" x14ac:dyDescent="0.25">
      <c r="A11" s="8" t="s">
        <v>56</v>
      </c>
      <c r="B11" s="8" t="s">
        <v>57</v>
      </c>
      <c r="C11" s="8" t="s">
        <v>58</v>
      </c>
      <c r="D11" s="36">
        <v>130</v>
      </c>
      <c r="E11" s="8">
        <v>10</v>
      </c>
      <c r="F11" s="8" t="s">
        <v>59</v>
      </c>
      <c r="G11" s="21">
        <f t="shared" si="1"/>
        <v>130</v>
      </c>
      <c r="H11" s="17" t="str">
        <f t="shared" si="0"/>
        <v>Outdoor</v>
      </c>
      <c r="I11" s="17" t="str">
        <f t="shared" si="2"/>
        <v>14</v>
      </c>
      <c r="J11" s="18" t="str">
        <f t="shared" si="3"/>
        <v>UK</v>
      </c>
      <c r="K11" s="19" t="str">
        <f t="shared" si="4"/>
        <v>Hiking BootsTimberland</v>
      </c>
      <c r="L11" s="20" t="str">
        <f t="shared" si="5"/>
        <v>14-OCT</v>
      </c>
      <c r="M11" s="22">
        <f t="shared" si="6"/>
        <v>45944</v>
      </c>
    </row>
    <row r="12" spans="1:13" ht="15.75" customHeight="1" x14ac:dyDescent="0.25">
      <c r="A12" s="5" t="s">
        <v>60</v>
      </c>
      <c r="B12" s="5" t="s">
        <v>61</v>
      </c>
      <c r="C12" s="5" t="s">
        <v>62</v>
      </c>
      <c r="D12" s="35">
        <v>950</v>
      </c>
      <c r="E12" s="5">
        <v>25</v>
      </c>
      <c r="F12" s="5" t="s">
        <v>28</v>
      </c>
      <c r="G12" s="21">
        <f t="shared" si="1"/>
        <v>950</v>
      </c>
      <c r="H12" s="17" t="str">
        <f t="shared" si="0"/>
        <v>Electronics</v>
      </c>
      <c r="I12" s="17" t="str">
        <f t="shared" si="2"/>
        <v>17</v>
      </c>
      <c r="J12" s="18" t="str">
        <f t="shared" si="3"/>
        <v>IN</v>
      </c>
      <c r="K12" s="19" t="str">
        <f t="shared" si="4"/>
        <v>LaptopHP</v>
      </c>
      <c r="L12" s="20" t="str">
        <f t="shared" si="5"/>
        <v>17-JUN</v>
      </c>
      <c r="M12" s="22">
        <f t="shared" si="6"/>
        <v>45825</v>
      </c>
    </row>
    <row r="13" spans="1:13" ht="15.75" customHeight="1" x14ac:dyDescent="0.25">
      <c r="A13" s="8" t="s">
        <v>63</v>
      </c>
      <c r="B13" s="8" t="s">
        <v>30</v>
      </c>
      <c r="C13" s="8" t="s">
        <v>49</v>
      </c>
      <c r="D13" s="36">
        <v>90</v>
      </c>
      <c r="E13" s="8">
        <v>40</v>
      </c>
      <c r="F13" s="8"/>
      <c r="G13" s="21">
        <f t="shared" si="1"/>
        <v>90</v>
      </c>
      <c r="H13" s="52" t="str">
        <f t="shared" si="0"/>
        <v>Unknown</v>
      </c>
      <c r="I13" s="17" t="str">
        <f t="shared" si="2"/>
        <v>25</v>
      </c>
      <c r="J13" s="18" t="str">
        <f t="shared" si="3"/>
        <v>AU</v>
      </c>
      <c r="K13" s="19" t="str">
        <f t="shared" si="4"/>
        <v>SneakersAdidas</v>
      </c>
      <c r="L13" s="20" t="str">
        <f t="shared" si="5"/>
        <v>25-NOV</v>
      </c>
      <c r="M13" s="22">
        <f t="shared" si="6"/>
        <v>45986</v>
      </c>
    </row>
    <row r="14" spans="1:13" ht="15.75" customHeight="1" x14ac:dyDescent="0.25">
      <c r="A14" s="5" t="s">
        <v>64</v>
      </c>
      <c r="B14" s="5" t="s">
        <v>34</v>
      </c>
      <c r="C14" s="5" t="s">
        <v>65</v>
      </c>
      <c r="D14" s="35">
        <v>120</v>
      </c>
      <c r="E14" s="5">
        <v>35</v>
      </c>
      <c r="F14" s="5"/>
      <c r="G14" s="21">
        <f t="shared" si="1"/>
        <v>120</v>
      </c>
      <c r="H14" s="52" t="str">
        <f t="shared" si="0"/>
        <v>Unknown</v>
      </c>
      <c r="I14" s="17" t="str">
        <f t="shared" si="2"/>
        <v>08</v>
      </c>
      <c r="J14" s="18" t="str">
        <f t="shared" si="3"/>
        <v>DE</v>
      </c>
      <c r="K14" s="19" t="str">
        <f t="shared" si="4"/>
        <v>Coffee MakerNespresso</v>
      </c>
      <c r="L14" s="20" t="str">
        <f t="shared" si="5"/>
        <v>08-DEC</v>
      </c>
      <c r="M14" s="22">
        <f t="shared" si="6"/>
        <v>45999</v>
      </c>
    </row>
    <row r="15" spans="1:13" ht="15.75" customHeight="1" x14ac:dyDescent="0.25">
      <c r="A15" s="8" t="s">
        <v>66</v>
      </c>
      <c r="B15" s="8" t="s">
        <v>67</v>
      </c>
      <c r="C15" s="8" t="s">
        <v>68</v>
      </c>
      <c r="D15" s="36">
        <v>150</v>
      </c>
      <c r="E15" s="8">
        <v>15</v>
      </c>
      <c r="F15" s="8" t="s">
        <v>28</v>
      </c>
      <c r="G15" s="21">
        <f t="shared" si="1"/>
        <v>150</v>
      </c>
      <c r="H15" s="17" t="str">
        <f t="shared" si="0"/>
        <v>Electronics</v>
      </c>
      <c r="I15" s="17" t="str">
        <f t="shared" si="2"/>
        <v>18</v>
      </c>
      <c r="J15" s="18" t="str">
        <f t="shared" si="3"/>
        <v>CA</v>
      </c>
      <c r="K15" s="19" t="str">
        <f t="shared" si="4"/>
        <v>SmartwatchFitbit</v>
      </c>
      <c r="L15" s="20" t="str">
        <f t="shared" si="5"/>
        <v>18-FEB</v>
      </c>
      <c r="M15" s="22">
        <f t="shared" si="6"/>
        <v>45706</v>
      </c>
    </row>
    <row r="16" spans="1:13" ht="15.75" customHeight="1" x14ac:dyDescent="0.25">
      <c r="A16" s="5" t="s">
        <v>69</v>
      </c>
      <c r="B16" s="13" t="s">
        <v>44</v>
      </c>
      <c r="C16" s="5" t="s">
        <v>71</v>
      </c>
      <c r="D16" s="35">
        <v>250</v>
      </c>
      <c r="E16" s="5">
        <v>20</v>
      </c>
      <c r="F16" s="5" t="s">
        <v>28</v>
      </c>
      <c r="G16" s="21">
        <f t="shared" si="1"/>
        <v>250</v>
      </c>
      <c r="H16" s="17" t="str">
        <f t="shared" si="0"/>
        <v>Electronics</v>
      </c>
      <c r="I16" s="17" t="str">
        <f t="shared" si="2"/>
        <v>16</v>
      </c>
      <c r="J16" s="18" t="str">
        <f t="shared" si="3"/>
        <v>ES</v>
      </c>
      <c r="K16" s="19" t="str">
        <f t="shared" si="4"/>
        <v>HeadphonesBose</v>
      </c>
      <c r="L16" s="20" t="str">
        <f t="shared" si="5"/>
        <v>16-APR</v>
      </c>
      <c r="M16" s="22">
        <f t="shared" si="6"/>
        <v>45763</v>
      </c>
    </row>
    <row r="17" spans="1:13" ht="15.75" customHeight="1" x14ac:dyDescent="0.25">
      <c r="A17" s="8" t="s">
        <v>72</v>
      </c>
      <c r="B17" s="8" t="s">
        <v>73</v>
      </c>
      <c r="C17" s="8" t="s">
        <v>74</v>
      </c>
      <c r="D17" s="36">
        <v>50</v>
      </c>
      <c r="E17" s="8">
        <v>35</v>
      </c>
      <c r="F17" s="8" t="s">
        <v>75</v>
      </c>
      <c r="G17" s="21">
        <f t="shared" si="1"/>
        <v>50</v>
      </c>
      <c r="H17" s="17" t="str">
        <f t="shared" si="0"/>
        <v>Accessories</v>
      </c>
      <c r="I17" s="17" t="str">
        <f t="shared" si="2"/>
        <v>21</v>
      </c>
      <c r="J17" s="18" t="str">
        <f t="shared" si="3"/>
        <v>CA</v>
      </c>
      <c r="K17" s="19" t="str">
        <f t="shared" si="4"/>
        <v>Laptop BagSamsonite</v>
      </c>
      <c r="L17" s="20" t="str">
        <f t="shared" si="5"/>
        <v>21-AUG</v>
      </c>
      <c r="M17" s="22">
        <f t="shared" si="6"/>
        <v>45890</v>
      </c>
    </row>
    <row r="18" spans="1:13" ht="15.75" customHeight="1" x14ac:dyDescent="0.25">
      <c r="A18" s="5" t="s">
        <v>76</v>
      </c>
      <c r="B18" s="5" t="s">
        <v>67</v>
      </c>
      <c r="C18" s="5" t="s">
        <v>77</v>
      </c>
      <c r="D18" s="35">
        <v>160</v>
      </c>
      <c r="E18" s="5">
        <v>15</v>
      </c>
      <c r="F18" s="5" t="s">
        <v>28</v>
      </c>
      <c r="G18" s="21">
        <f t="shared" si="1"/>
        <v>160</v>
      </c>
      <c r="H18" s="17" t="str">
        <f t="shared" si="0"/>
        <v>Electronics</v>
      </c>
      <c r="I18" s="17" t="str">
        <f t="shared" si="2"/>
        <v>20</v>
      </c>
      <c r="J18" s="18" t="str">
        <f t="shared" si="3"/>
        <v>CN</v>
      </c>
      <c r="K18" s="19" t="str">
        <f t="shared" si="4"/>
        <v>SmartwatchHuawei</v>
      </c>
      <c r="L18" s="20" t="str">
        <f t="shared" si="5"/>
        <v>20-AUG</v>
      </c>
      <c r="M18" s="22">
        <f t="shared" si="6"/>
        <v>45889</v>
      </c>
    </row>
    <row r="19" spans="1:13" ht="15.75" customHeight="1" x14ac:dyDescent="0.25">
      <c r="A19" s="8" t="s">
        <v>78</v>
      </c>
      <c r="B19" s="8" t="s">
        <v>61</v>
      </c>
      <c r="C19" s="8" t="s">
        <v>79</v>
      </c>
      <c r="D19" s="36">
        <v>980</v>
      </c>
      <c r="E19" s="8">
        <v>10</v>
      </c>
      <c r="F19" s="8" t="s">
        <v>28</v>
      </c>
      <c r="G19" s="21">
        <f t="shared" si="1"/>
        <v>980</v>
      </c>
      <c r="H19" s="17" t="str">
        <f t="shared" si="0"/>
        <v>Electronics</v>
      </c>
      <c r="I19" s="17" t="str">
        <f t="shared" si="2"/>
        <v>27</v>
      </c>
      <c r="J19" s="18" t="str">
        <f t="shared" si="3"/>
        <v>IT</v>
      </c>
      <c r="K19" s="19" t="str">
        <f t="shared" si="4"/>
        <v>LaptopAsus</v>
      </c>
      <c r="L19" s="20" t="str">
        <f t="shared" si="5"/>
        <v>27-JAN</v>
      </c>
      <c r="M19" s="22">
        <f t="shared" si="6"/>
        <v>45684</v>
      </c>
    </row>
    <row r="20" spans="1:13" ht="15.75" customHeight="1" x14ac:dyDescent="0.25">
      <c r="A20" s="5" t="s">
        <v>80</v>
      </c>
      <c r="B20" s="5" t="s">
        <v>81</v>
      </c>
      <c r="C20" s="5" t="s">
        <v>82</v>
      </c>
      <c r="D20" s="35">
        <v>150</v>
      </c>
      <c r="E20" s="5">
        <v>15</v>
      </c>
      <c r="F20" s="5" t="s">
        <v>32</v>
      </c>
      <c r="G20" s="21">
        <f t="shared" si="1"/>
        <v>150</v>
      </c>
      <c r="H20" s="17" t="str">
        <f t="shared" si="0"/>
        <v>Fashion</v>
      </c>
      <c r="I20" s="17" t="str">
        <f t="shared" si="2"/>
        <v>01</v>
      </c>
      <c r="J20" s="18" t="str">
        <f t="shared" si="3"/>
        <v>UK</v>
      </c>
      <c r="K20" s="19" t="str">
        <f t="shared" si="4"/>
        <v>SunglassesOakley</v>
      </c>
      <c r="L20" s="20" t="str">
        <f t="shared" si="5"/>
        <v>01-MAR</v>
      </c>
      <c r="M20" s="22">
        <f t="shared" si="6"/>
        <v>45717</v>
      </c>
    </row>
    <row r="21" spans="1:13" ht="15.75" customHeight="1" x14ac:dyDescent="0.25">
      <c r="A21" s="8" t="s">
        <v>83</v>
      </c>
      <c r="B21" s="8" t="s">
        <v>84</v>
      </c>
      <c r="C21" s="8" t="s">
        <v>85</v>
      </c>
      <c r="D21" s="36"/>
      <c r="E21" s="8">
        <v>10</v>
      </c>
      <c r="F21" s="8" t="s">
        <v>59</v>
      </c>
      <c r="G21" s="51">
        <f t="shared" si="1"/>
        <v>297.85714285714283</v>
      </c>
      <c r="H21" s="17" t="str">
        <f t="shared" si="0"/>
        <v>Outdoor</v>
      </c>
      <c r="I21" s="17" t="str">
        <f t="shared" si="2"/>
        <v>14</v>
      </c>
      <c r="J21" s="18" t="str">
        <f t="shared" si="3"/>
        <v>US</v>
      </c>
      <c r="K21" s="19" t="str">
        <f t="shared" si="4"/>
        <v>Camping TentColeman</v>
      </c>
      <c r="L21" s="20" t="str">
        <f t="shared" si="5"/>
        <v>14-AUG</v>
      </c>
      <c r="M21" s="22">
        <f t="shared" si="6"/>
        <v>45883</v>
      </c>
    </row>
    <row r="22" spans="1:13" ht="15.75" customHeight="1" x14ac:dyDescent="0.25">
      <c r="A22" s="5" t="s">
        <v>86</v>
      </c>
      <c r="B22" s="5" t="s">
        <v>87</v>
      </c>
      <c r="C22" s="5" t="s">
        <v>88</v>
      </c>
      <c r="D22" s="35">
        <v>700</v>
      </c>
      <c r="E22" s="5">
        <v>50</v>
      </c>
      <c r="F22" s="5" t="s">
        <v>28</v>
      </c>
      <c r="G22" s="21">
        <f t="shared" si="1"/>
        <v>700</v>
      </c>
      <c r="H22" s="17" t="str">
        <f t="shared" si="0"/>
        <v>Electronics</v>
      </c>
      <c r="I22" s="17" t="str">
        <f t="shared" si="2"/>
        <v>14</v>
      </c>
      <c r="J22" s="18" t="str">
        <f t="shared" si="3"/>
        <v>RU</v>
      </c>
      <c r="K22" s="19" t="str">
        <f t="shared" si="4"/>
        <v>CameraNikon</v>
      </c>
      <c r="L22" s="20" t="str">
        <f t="shared" si="5"/>
        <v>14-MAY</v>
      </c>
      <c r="M22" s="22">
        <f t="shared" si="6"/>
        <v>45791</v>
      </c>
    </row>
    <row r="23" spans="1:13" ht="15.75" customHeight="1" x14ac:dyDescent="0.25">
      <c r="A23" s="8" t="s">
        <v>89</v>
      </c>
      <c r="B23" s="8" t="s">
        <v>90</v>
      </c>
      <c r="C23" s="8" t="s">
        <v>91</v>
      </c>
      <c r="D23" s="36">
        <v>80</v>
      </c>
      <c r="E23" s="8">
        <v>20</v>
      </c>
      <c r="F23" s="8" t="s">
        <v>36</v>
      </c>
      <c r="G23" s="21">
        <f t="shared" si="1"/>
        <v>80</v>
      </c>
      <c r="H23" s="17" t="str">
        <f t="shared" si="0"/>
        <v>Kitchen</v>
      </c>
      <c r="I23" s="17" t="str">
        <f t="shared" si="2"/>
        <v>09</v>
      </c>
      <c r="J23" s="18" t="str">
        <f t="shared" si="3"/>
        <v>CA</v>
      </c>
      <c r="K23" s="19" t="str">
        <f t="shared" si="4"/>
        <v>MicrowavePanasonic</v>
      </c>
      <c r="L23" s="20" t="str">
        <f t="shared" si="5"/>
        <v>09-JAN</v>
      </c>
      <c r="M23" s="22">
        <f t="shared" si="6"/>
        <v>45666</v>
      </c>
    </row>
    <row r="24" spans="1:13" ht="15.75" customHeight="1" x14ac:dyDescent="0.25">
      <c r="A24" s="5" t="s">
        <v>92</v>
      </c>
      <c r="B24" s="5" t="s">
        <v>93</v>
      </c>
      <c r="C24" s="5" t="s">
        <v>94</v>
      </c>
      <c r="D24" s="35">
        <v>150</v>
      </c>
      <c r="E24" s="5">
        <v>30</v>
      </c>
      <c r="F24" s="5"/>
      <c r="G24" s="21">
        <f t="shared" si="1"/>
        <v>150</v>
      </c>
      <c r="H24" s="52" t="str">
        <f t="shared" si="0"/>
        <v>Unknown</v>
      </c>
      <c r="I24" s="17" t="str">
        <f t="shared" si="2"/>
        <v>19</v>
      </c>
      <c r="J24" s="18" t="str">
        <f t="shared" si="3"/>
        <v>BR</v>
      </c>
      <c r="K24" s="19" t="str">
        <f t="shared" si="4"/>
        <v>Fitness TrackerXiaomi</v>
      </c>
      <c r="L24" s="20" t="str">
        <f t="shared" si="5"/>
        <v>19-JUL</v>
      </c>
      <c r="M24" s="22">
        <f t="shared" si="6"/>
        <v>45857</v>
      </c>
    </row>
    <row r="25" spans="1:13" ht="15.75" customHeight="1" x14ac:dyDescent="0.25">
      <c r="A25" s="5" t="s">
        <v>95</v>
      </c>
      <c r="B25" s="5" t="s">
        <v>96</v>
      </c>
      <c r="C25" s="5" t="s">
        <v>97</v>
      </c>
      <c r="D25" s="35">
        <v>800</v>
      </c>
      <c r="E25" s="5">
        <v>45</v>
      </c>
      <c r="F25" s="5" t="s">
        <v>28</v>
      </c>
      <c r="G25" s="21">
        <f t="shared" si="1"/>
        <v>800</v>
      </c>
      <c r="H25" s="17" t="str">
        <f t="shared" si="0"/>
        <v>Electronics</v>
      </c>
      <c r="I25" s="17" t="str">
        <f t="shared" si="2"/>
        <v>29</v>
      </c>
      <c r="J25" s="18" t="str">
        <f t="shared" si="3"/>
        <v>CA</v>
      </c>
      <c r="K25" s="19" t="str">
        <f t="shared" si="4"/>
        <v>SmartphoneGoogle</v>
      </c>
      <c r="L25" s="20" t="str">
        <f t="shared" si="5"/>
        <v>29-SEP</v>
      </c>
      <c r="M25" s="22">
        <f t="shared" si="6"/>
        <v>45929</v>
      </c>
    </row>
    <row r="26" spans="1:13" ht="15.75" customHeight="1" x14ac:dyDescent="0.25">
      <c r="A26" s="8" t="s">
        <v>98</v>
      </c>
      <c r="B26" s="8" t="s">
        <v>81</v>
      </c>
      <c r="C26" s="8" t="s">
        <v>99</v>
      </c>
      <c r="D26" s="36"/>
      <c r="E26" s="8">
        <v>25</v>
      </c>
      <c r="F26" s="8" t="s">
        <v>32</v>
      </c>
      <c r="G26" s="51">
        <f t="shared" si="1"/>
        <v>297.85714285714283</v>
      </c>
      <c r="H26" s="17" t="str">
        <f t="shared" si="0"/>
        <v>Fashion</v>
      </c>
      <c r="I26" s="17" t="str">
        <f t="shared" si="2"/>
        <v>03</v>
      </c>
      <c r="J26" s="18" t="str">
        <f t="shared" si="3"/>
        <v>CA</v>
      </c>
      <c r="K26" s="19" t="str">
        <f t="shared" si="4"/>
        <v>SunglassesRay-Ban</v>
      </c>
      <c r="L26" s="20" t="str">
        <f t="shared" si="5"/>
        <v>03-JUN</v>
      </c>
      <c r="M26" s="22">
        <f t="shared" si="6"/>
        <v>45811</v>
      </c>
    </row>
    <row r="27" spans="1:13" ht="15.75" customHeight="1" x14ac:dyDescent="0.25">
      <c r="A27" s="5" t="s">
        <v>100</v>
      </c>
      <c r="B27" s="5" t="s">
        <v>51</v>
      </c>
      <c r="C27" s="5" t="s">
        <v>101</v>
      </c>
      <c r="D27" s="35">
        <v>400</v>
      </c>
      <c r="E27" s="5">
        <v>40</v>
      </c>
      <c r="F27" s="5" t="s">
        <v>36</v>
      </c>
      <c r="G27" s="21">
        <f t="shared" si="1"/>
        <v>400</v>
      </c>
      <c r="H27" s="17" t="str">
        <f t="shared" si="0"/>
        <v>Kitchen</v>
      </c>
      <c r="I27" s="17" t="str">
        <f t="shared" si="2"/>
        <v>11</v>
      </c>
      <c r="J27" s="18" t="str">
        <f t="shared" si="3"/>
        <v>CA</v>
      </c>
      <c r="K27" s="19" t="str">
        <f t="shared" si="4"/>
        <v>BlenderVitamix</v>
      </c>
      <c r="L27" s="20" t="str">
        <f t="shared" si="5"/>
        <v>11-JUL</v>
      </c>
      <c r="M27" s="22">
        <f t="shared" si="6"/>
        <v>45849</v>
      </c>
    </row>
    <row r="28" spans="1:13" ht="15.75" customHeight="1" x14ac:dyDescent="0.25">
      <c r="A28" s="5" t="s">
        <v>102</v>
      </c>
      <c r="B28" s="5" t="s">
        <v>103</v>
      </c>
      <c r="C28" s="5" t="s">
        <v>104</v>
      </c>
      <c r="D28" s="35">
        <v>60</v>
      </c>
      <c r="E28" s="5">
        <v>30</v>
      </c>
      <c r="F28" s="5" t="s">
        <v>32</v>
      </c>
      <c r="G28" s="21">
        <f t="shared" si="1"/>
        <v>60</v>
      </c>
      <c r="H28" s="17" t="str">
        <f t="shared" si="0"/>
        <v>Fashion</v>
      </c>
      <c r="I28" s="17" t="str">
        <f t="shared" si="2"/>
        <v>07</v>
      </c>
      <c r="J28" s="18" t="str">
        <f t="shared" si="3"/>
        <v>CA</v>
      </c>
      <c r="K28" s="19" t="str">
        <f t="shared" si="4"/>
        <v>DressZara</v>
      </c>
      <c r="L28" s="20" t="str">
        <f t="shared" si="5"/>
        <v>07-MAR</v>
      </c>
      <c r="M28" s="22">
        <f t="shared" si="6"/>
        <v>45723</v>
      </c>
    </row>
    <row r="29" spans="1:13" ht="15.75" customHeight="1" x14ac:dyDescent="0.25">
      <c r="A29" s="8" t="s">
        <v>105</v>
      </c>
      <c r="B29" s="8" t="s">
        <v>106</v>
      </c>
      <c r="C29" s="8" t="s">
        <v>107</v>
      </c>
      <c r="D29" s="36">
        <v>40</v>
      </c>
      <c r="E29" s="8">
        <v>10</v>
      </c>
      <c r="F29" s="8" t="s">
        <v>36</v>
      </c>
      <c r="G29" s="21">
        <f t="shared" si="1"/>
        <v>40</v>
      </c>
      <c r="H29" s="17" t="str">
        <f t="shared" si="0"/>
        <v>Kitchen</v>
      </c>
      <c r="I29" s="17" t="str">
        <f t="shared" si="2"/>
        <v>13</v>
      </c>
      <c r="J29" s="18" t="str">
        <f t="shared" si="3"/>
        <v>CA</v>
      </c>
      <c r="K29" s="19" t="str">
        <f t="shared" si="4"/>
        <v>ToasterHamilton</v>
      </c>
      <c r="L29" s="20" t="str">
        <f t="shared" si="5"/>
        <v>13-APR</v>
      </c>
      <c r="M29" s="22">
        <f t="shared" si="6"/>
        <v>45760</v>
      </c>
    </row>
    <row r="30" spans="1:13" ht="15.75" customHeight="1" x14ac:dyDescent="0.25">
      <c r="A30" s="5" t="s">
        <v>108</v>
      </c>
      <c r="B30" s="13" t="s">
        <v>93</v>
      </c>
      <c r="C30" s="5" t="s">
        <v>109</v>
      </c>
      <c r="D30" s="35">
        <v>130</v>
      </c>
      <c r="E30" s="5">
        <v>5</v>
      </c>
      <c r="F30" s="5" t="s">
        <v>28</v>
      </c>
      <c r="G30" s="21">
        <f t="shared" si="1"/>
        <v>130</v>
      </c>
      <c r="H30" s="17" t="str">
        <f t="shared" si="0"/>
        <v>Electronics</v>
      </c>
      <c r="I30" s="17" t="str">
        <f t="shared" si="2"/>
        <v>24</v>
      </c>
      <c r="J30" s="18" t="str">
        <f t="shared" si="3"/>
        <v>CA</v>
      </c>
      <c r="K30" s="19" t="str">
        <f t="shared" si="4"/>
        <v>Fitness TrackerGarmin</v>
      </c>
      <c r="L30" s="20" t="str">
        <f t="shared" si="5"/>
        <v>24-MAY</v>
      </c>
      <c r="M30" s="22">
        <f t="shared" si="6"/>
        <v>45801</v>
      </c>
    </row>
    <row r="31" spans="1:13" ht="15.75" customHeight="1" x14ac:dyDescent="0.25">
      <c r="A31" s="8" t="s">
        <v>110</v>
      </c>
      <c r="B31" s="8" t="s">
        <v>111</v>
      </c>
      <c r="C31" s="16" t="s">
        <v>112</v>
      </c>
      <c r="D31" s="36">
        <v>50</v>
      </c>
      <c r="E31" s="8">
        <v>50</v>
      </c>
      <c r="F31" s="8" t="s">
        <v>32</v>
      </c>
      <c r="G31" s="21">
        <f t="shared" si="1"/>
        <v>50</v>
      </c>
      <c r="H31" s="17" t="str">
        <f t="shared" si="0"/>
        <v>Fashion</v>
      </c>
      <c r="I31" s="17" t="str">
        <f t="shared" si="2"/>
        <v>02</v>
      </c>
      <c r="J31" s="18" t="str">
        <f t="shared" si="3"/>
        <v>CA</v>
      </c>
      <c r="K31" s="19" t="str">
        <f t="shared" si="4"/>
        <v>JeansLevi's</v>
      </c>
      <c r="L31" s="20" t="str">
        <f t="shared" si="5"/>
        <v>02-DEC</v>
      </c>
      <c r="M31" s="22">
        <f t="shared" si="6"/>
        <v>45993</v>
      </c>
    </row>
    <row r="32" spans="1:13" ht="15.75" customHeight="1" thickBot="1" x14ac:dyDescent="0.3">
      <c r="A32" s="8" t="s">
        <v>113</v>
      </c>
      <c r="B32" s="8" t="s">
        <v>114</v>
      </c>
      <c r="C32" s="8" t="s">
        <v>115</v>
      </c>
      <c r="D32" s="36">
        <v>100</v>
      </c>
      <c r="E32" s="8">
        <v>20</v>
      </c>
      <c r="F32" s="8" t="s">
        <v>75</v>
      </c>
      <c r="G32" s="23">
        <f t="shared" si="1"/>
        <v>100</v>
      </c>
      <c r="H32" s="24" t="str">
        <f t="shared" si="0"/>
        <v>Accessories</v>
      </c>
      <c r="I32" s="24" t="str">
        <f t="shared" si="2"/>
        <v>09</v>
      </c>
      <c r="J32" s="25" t="str">
        <f t="shared" si="3"/>
        <v>FR</v>
      </c>
      <c r="K32" s="26" t="str">
        <f t="shared" si="4"/>
        <v>WatchCasio</v>
      </c>
      <c r="L32" s="27" t="str">
        <f t="shared" si="5"/>
        <v>09-JUL</v>
      </c>
      <c r="M32" s="28">
        <f t="shared" si="6"/>
        <v>45847</v>
      </c>
    </row>
    <row r="33" spans="1:15" ht="15.75" customHeight="1" x14ac:dyDescent="0.25">
      <c r="C33" s="15" t="s">
        <v>120</v>
      </c>
      <c r="D33" s="14">
        <f>COUNTBLANK(D2:D32)</f>
        <v>3</v>
      </c>
      <c r="E33" s="15" t="s">
        <v>120</v>
      </c>
      <c r="F33" s="14">
        <f>COUNTBLANK(F2:F32)</f>
        <v>4</v>
      </c>
      <c r="I33" s="11" t="str">
        <f t="shared" si="2"/>
        <v/>
      </c>
      <c r="J33" t="str">
        <f t="shared" si="3"/>
        <v/>
      </c>
    </row>
    <row r="34" spans="1:15" ht="15.75" customHeight="1" x14ac:dyDescent="0.25">
      <c r="E34" s="10" t="s">
        <v>124</v>
      </c>
      <c r="F34" s="12">
        <f>COUNTIF(F2:F32,F2)</f>
        <v>12</v>
      </c>
      <c r="I34" s="11" t="str">
        <f t="shared" si="2"/>
        <v/>
      </c>
      <c r="J34" t="str">
        <f t="shared" si="3"/>
        <v/>
      </c>
    </row>
    <row r="35" spans="1:15" ht="15.75" customHeight="1" x14ac:dyDescent="0.25">
      <c r="I35" s="11" t="str">
        <f t="shared" si="2"/>
        <v/>
      </c>
      <c r="J35" t="str">
        <f t="shared" si="3"/>
        <v/>
      </c>
    </row>
    <row r="36" spans="1:15" s="57" customFormat="1" ht="14.5" customHeight="1" x14ac:dyDescent="0.35">
      <c r="A36" s="63" t="s">
        <v>151</v>
      </c>
      <c r="B36" s="54"/>
      <c r="C36" s="54"/>
      <c r="D36" s="54"/>
      <c r="E36" s="54"/>
      <c r="F36" s="54"/>
      <c r="G36" s="54"/>
      <c r="H36" s="54"/>
      <c r="I36" s="53" t="s">
        <v>116</v>
      </c>
      <c r="J36" s="55"/>
      <c r="K36" s="55"/>
      <c r="L36" s="54"/>
      <c r="M36" s="54"/>
      <c r="N36" s="54"/>
      <c r="O36" s="56"/>
    </row>
    <row r="37" spans="1:15" s="9" customFormat="1" ht="15.75" customHeight="1" x14ac:dyDescent="0.35">
      <c r="A37" s="37"/>
      <c r="B37" s="38"/>
      <c r="C37" s="38"/>
      <c r="D37" s="38"/>
      <c r="E37" s="38"/>
      <c r="F37" s="38"/>
      <c r="G37" s="38"/>
      <c r="H37" s="38"/>
      <c r="I37" s="59"/>
      <c r="J37" s="38"/>
      <c r="K37" s="39"/>
      <c r="L37" s="38"/>
      <c r="M37" s="38"/>
      <c r="N37" s="38"/>
      <c r="O37" s="40"/>
    </row>
    <row r="38" spans="1:15" ht="15.75" customHeight="1" x14ac:dyDescent="0.35">
      <c r="A38" s="41" t="s">
        <v>1</v>
      </c>
      <c r="B38" s="39"/>
      <c r="C38" s="39"/>
      <c r="D38" s="39"/>
      <c r="E38" s="39"/>
      <c r="F38" s="39"/>
      <c r="G38" s="39"/>
      <c r="H38" s="39"/>
      <c r="I38" s="60"/>
      <c r="J38" s="39"/>
      <c r="K38" s="39"/>
      <c r="L38" s="39"/>
      <c r="M38" s="39"/>
      <c r="N38" s="39"/>
      <c r="O38" s="42"/>
    </row>
    <row r="39" spans="1:15" ht="15.75" customHeight="1" x14ac:dyDescent="0.35">
      <c r="A39" s="43" t="s">
        <v>2</v>
      </c>
      <c r="B39" s="39"/>
      <c r="C39" s="39"/>
      <c r="D39" s="39"/>
      <c r="E39" s="39"/>
      <c r="F39" s="39"/>
      <c r="G39" s="39"/>
      <c r="H39" s="39"/>
      <c r="I39" s="61" t="s">
        <v>148</v>
      </c>
      <c r="J39" s="39"/>
      <c r="K39" s="39"/>
      <c r="L39" s="39"/>
      <c r="M39" s="39"/>
      <c r="N39" s="39"/>
      <c r="O39" s="42"/>
    </row>
    <row r="40" spans="1:15" ht="15.75" customHeight="1" x14ac:dyDescent="0.35">
      <c r="A40" s="43"/>
      <c r="B40" s="39"/>
      <c r="C40" s="39"/>
      <c r="D40" s="39"/>
      <c r="E40" s="39"/>
      <c r="F40" s="39"/>
      <c r="G40" s="39"/>
      <c r="H40" s="39"/>
      <c r="I40" s="61" t="s">
        <v>117</v>
      </c>
      <c r="J40" s="39"/>
      <c r="K40" s="39"/>
      <c r="L40" s="39"/>
      <c r="M40" s="39"/>
      <c r="N40" s="39"/>
      <c r="O40" s="42"/>
    </row>
    <row r="41" spans="1:15" ht="15.75" customHeight="1" x14ac:dyDescent="0.35">
      <c r="A41" s="43"/>
      <c r="B41" s="39"/>
      <c r="C41" s="39"/>
      <c r="D41" s="39"/>
      <c r="E41" s="39"/>
      <c r="F41" s="39"/>
      <c r="G41" s="39"/>
      <c r="H41" s="39"/>
      <c r="I41" s="61" t="s">
        <v>118</v>
      </c>
      <c r="J41" s="39"/>
      <c r="K41" s="62" t="s">
        <v>131</v>
      </c>
      <c r="L41" s="39"/>
      <c r="M41" s="39"/>
      <c r="N41" s="39"/>
      <c r="O41" s="42"/>
    </row>
    <row r="42" spans="1:15" ht="15.75" customHeight="1" x14ac:dyDescent="0.35">
      <c r="A42" s="43"/>
      <c r="B42" s="39"/>
      <c r="C42" s="39"/>
      <c r="D42" s="39"/>
      <c r="E42" s="39"/>
      <c r="F42" s="39"/>
      <c r="G42" s="39"/>
      <c r="H42" s="39"/>
      <c r="I42" s="61" t="s">
        <v>132</v>
      </c>
      <c r="J42" s="39"/>
      <c r="K42" s="39"/>
      <c r="L42" s="39"/>
      <c r="M42" s="39"/>
      <c r="N42" s="39"/>
      <c r="O42" s="42"/>
    </row>
    <row r="43" spans="1:15" ht="15.75" customHeight="1" x14ac:dyDescent="0.35">
      <c r="A43" s="43"/>
      <c r="B43" s="39"/>
      <c r="C43" s="39"/>
      <c r="D43" s="39"/>
      <c r="E43" s="39"/>
      <c r="F43" s="39"/>
      <c r="G43" s="39"/>
      <c r="H43" s="39"/>
      <c r="I43" s="61"/>
      <c r="J43" s="39"/>
      <c r="K43" s="39"/>
      <c r="L43" s="39"/>
      <c r="M43" s="39"/>
      <c r="N43" s="39"/>
      <c r="O43" s="42"/>
    </row>
    <row r="44" spans="1:15" ht="15.75" customHeight="1" x14ac:dyDescent="0.35">
      <c r="A44" s="43" t="s">
        <v>3</v>
      </c>
      <c r="B44" s="39"/>
      <c r="C44" s="39"/>
      <c r="D44" s="39"/>
      <c r="E44" s="39"/>
      <c r="F44" s="39"/>
      <c r="G44" s="39"/>
      <c r="H44" s="39"/>
      <c r="I44" s="61" t="s">
        <v>133</v>
      </c>
      <c r="J44" s="39"/>
      <c r="K44" s="39"/>
      <c r="L44" s="39"/>
      <c r="M44" s="39"/>
      <c r="N44" s="39"/>
      <c r="O44" s="42"/>
    </row>
    <row r="45" spans="1:15" ht="15.75" customHeight="1" x14ac:dyDescent="0.35">
      <c r="A45" s="44"/>
      <c r="B45" s="39"/>
      <c r="C45" s="39"/>
      <c r="D45" s="39"/>
      <c r="E45" s="39"/>
      <c r="F45" s="39"/>
      <c r="G45" s="39"/>
      <c r="H45" s="39"/>
      <c r="I45" s="61" t="s">
        <v>121</v>
      </c>
      <c r="J45" s="39"/>
      <c r="K45" s="39"/>
      <c r="L45" s="39"/>
      <c r="M45" s="39"/>
      <c r="N45" s="39"/>
      <c r="O45" s="42"/>
    </row>
    <row r="46" spans="1:15" ht="15.75" customHeight="1" x14ac:dyDescent="0.35">
      <c r="A46" s="44"/>
      <c r="B46" s="39"/>
      <c r="C46" s="39"/>
      <c r="D46" s="39"/>
      <c r="E46" s="39"/>
      <c r="F46" s="39"/>
      <c r="G46" s="39"/>
      <c r="H46" s="39"/>
      <c r="I46" s="61" t="s">
        <v>123</v>
      </c>
      <c r="J46" s="39"/>
      <c r="K46" s="39"/>
      <c r="L46" s="39"/>
      <c r="M46" s="39"/>
      <c r="N46" s="39"/>
      <c r="O46" s="42"/>
    </row>
    <row r="47" spans="1:15" ht="15.75" customHeight="1" x14ac:dyDescent="0.35">
      <c r="A47" s="44"/>
      <c r="B47" s="39"/>
      <c r="C47" s="39"/>
      <c r="D47" s="39"/>
      <c r="E47" s="39"/>
      <c r="F47" s="39"/>
      <c r="G47" s="39"/>
      <c r="H47" s="39"/>
      <c r="I47" s="61" t="s">
        <v>152</v>
      </c>
      <c r="J47" s="39"/>
      <c r="K47" s="39"/>
      <c r="L47" s="39"/>
      <c r="M47" s="39"/>
      <c r="N47" s="39"/>
      <c r="O47" s="42"/>
    </row>
    <row r="48" spans="1:15" ht="15.75" customHeight="1" x14ac:dyDescent="0.35">
      <c r="A48" s="44"/>
      <c r="B48" s="39"/>
      <c r="C48" s="39"/>
      <c r="D48" s="39"/>
      <c r="E48" s="39"/>
      <c r="F48" s="39"/>
      <c r="G48" s="39"/>
      <c r="H48" s="39"/>
      <c r="I48" s="61" t="s">
        <v>149</v>
      </c>
      <c r="J48" s="39"/>
      <c r="K48" s="39"/>
      <c r="L48" s="39"/>
      <c r="M48" s="39"/>
      <c r="N48" s="39"/>
      <c r="O48" s="42"/>
    </row>
    <row r="49" spans="1:15" ht="15.75" customHeight="1" x14ac:dyDescent="0.35">
      <c r="A49" s="44"/>
      <c r="B49" s="39"/>
      <c r="C49" s="39"/>
      <c r="D49" s="39"/>
      <c r="E49" s="39"/>
      <c r="F49" s="39"/>
      <c r="G49" s="39"/>
      <c r="H49" s="39"/>
      <c r="I49" s="61"/>
      <c r="J49" s="39"/>
      <c r="K49" s="39"/>
      <c r="L49" s="39"/>
      <c r="M49" s="39"/>
      <c r="N49" s="39"/>
      <c r="O49" s="42"/>
    </row>
    <row r="50" spans="1:15" ht="15.75" customHeight="1" x14ac:dyDescent="0.35">
      <c r="A50" s="41" t="s">
        <v>4</v>
      </c>
      <c r="B50" s="39"/>
      <c r="C50" s="39"/>
      <c r="D50" s="39"/>
      <c r="E50" s="39"/>
      <c r="F50" s="39"/>
      <c r="G50" s="39"/>
      <c r="H50" s="39"/>
      <c r="I50" s="61"/>
      <c r="J50" s="39"/>
      <c r="K50" s="39"/>
      <c r="L50" s="39"/>
      <c r="M50" s="39"/>
      <c r="N50" s="39"/>
      <c r="O50" s="42"/>
    </row>
    <row r="51" spans="1:15" ht="15.75" customHeight="1" x14ac:dyDescent="0.35">
      <c r="A51" s="43" t="s">
        <v>5</v>
      </c>
      <c r="B51" s="39"/>
      <c r="C51" s="39"/>
      <c r="D51" s="39"/>
      <c r="E51" s="39"/>
      <c r="F51" s="39"/>
      <c r="G51" s="39"/>
      <c r="H51" s="39"/>
      <c r="I51" s="61" t="s">
        <v>127</v>
      </c>
      <c r="J51" s="39"/>
      <c r="K51" s="39"/>
      <c r="L51" s="39"/>
      <c r="M51" s="39"/>
      <c r="N51" s="39"/>
      <c r="O51" s="42"/>
    </row>
    <row r="52" spans="1:15" ht="15.75" customHeight="1" x14ac:dyDescent="0.35">
      <c r="A52" s="43" t="s">
        <v>6</v>
      </c>
      <c r="B52" s="39"/>
      <c r="C52" s="39"/>
      <c r="D52" s="39"/>
      <c r="E52" s="39"/>
      <c r="F52" s="39"/>
      <c r="G52" s="39"/>
      <c r="H52" s="39"/>
      <c r="I52" s="61" t="s">
        <v>128</v>
      </c>
      <c r="J52" s="39"/>
      <c r="K52" s="39"/>
      <c r="L52" s="39"/>
      <c r="M52" s="39"/>
      <c r="N52" s="39"/>
      <c r="O52" s="42"/>
    </row>
    <row r="53" spans="1:15" ht="15.75" customHeight="1" x14ac:dyDescent="0.35">
      <c r="A53" s="45" t="s">
        <v>125</v>
      </c>
      <c r="B53" s="39"/>
      <c r="C53" s="39"/>
      <c r="D53" s="39"/>
      <c r="E53" s="39"/>
      <c r="F53" s="39"/>
      <c r="G53" s="39"/>
      <c r="H53" s="39"/>
      <c r="I53" s="61" t="s">
        <v>129</v>
      </c>
      <c r="J53" s="39"/>
      <c r="K53" s="39"/>
      <c r="L53" s="39"/>
      <c r="M53" s="39"/>
      <c r="N53" s="39"/>
      <c r="O53" s="42"/>
    </row>
    <row r="54" spans="1:15" ht="15.75" customHeight="1" x14ac:dyDescent="0.35">
      <c r="A54" s="45" t="s">
        <v>126</v>
      </c>
      <c r="B54" s="39"/>
      <c r="C54" s="39"/>
      <c r="D54" s="39"/>
      <c r="E54" s="39"/>
      <c r="F54" s="39"/>
      <c r="G54" s="39"/>
      <c r="H54" s="39"/>
      <c r="I54" s="61" t="s">
        <v>130</v>
      </c>
      <c r="J54" s="39"/>
      <c r="K54" s="39"/>
      <c r="L54" s="39"/>
      <c r="M54" s="39"/>
      <c r="N54" s="39"/>
      <c r="O54" s="42"/>
    </row>
    <row r="55" spans="1:15" ht="15.75" customHeight="1" x14ac:dyDescent="0.35">
      <c r="A55" s="44"/>
      <c r="B55" s="39"/>
      <c r="C55" s="39"/>
      <c r="D55" s="39"/>
      <c r="E55" s="39"/>
      <c r="F55" s="39"/>
      <c r="G55" s="39"/>
      <c r="H55" s="39"/>
      <c r="I55" s="61"/>
      <c r="J55" s="39"/>
      <c r="K55" s="39"/>
      <c r="L55" s="39"/>
      <c r="M55" s="39"/>
      <c r="N55" s="39"/>
      <c r="O55" s="42"/>
    </row>
    <row r="56" spans="1:15" ht="15.75" customHeight="1" x14ac:dyDescent="0.35">
      <c r="A56" s="41" t="s">
        <v>8</v>
      </c>
      <c r="B56" s="39"/>
      <c r="C56" s="39"/>
      <c r="D56" s="39"/>
      <c r="E56" s="39"/>
      <c r="F56" s="39"/>
      <c r="G56" s="39"/>
      <c r="H56" s="39"/>
      <c r="I56" s="61"/>
      <c r="J56" s="39"/>
      <c r="K56" s="39"/>
      <c r="L56" s="39"/>
      <c r="M56" s="39"/>
      <c r="N56" s="39"/>
      <c r="O56" s="42"/>
    </row>
    <row r="57" spans="1:15" ht="15.75" customHeight="1" x14ac:dyDescent="0.35">
      <c r="A57" s="43" t="s">
        <v>9</v>
      </c>
      <c r="B57" s="39"/>
      <c r="C57" s="39"/>
      <c r="D57" s="39"/>
      <c r="E57" s="39"/>
      <c r="F57" s="39"/>
      <c r="G57" s="39"/>
      <c r="H57" s="39"/>
      <c r="I57" s="61" t="s">
        <v>134</v>
      </c>
      <c r="J57" s="39"/>
      <c r="K57" s="39"/>
      <c r="L57" s="39"/>
      <c r="M57" s="39"/>
      <c r="N57" s="39"/>
      <c r="O57" s="42"/>
    </row>
    <row r="58" spans="1:15" ht="15.75" customHeight="1" x14ac:dyDescent="0.35">
      <c r="A58" s="44"/>
      <c r="B58" s="39"/>
      <c r="C58" s="39"/>
      <c r="D58" s="39"/>
      <c r="E58" s="39"/>
      <c r="F58" s="39"/>
      <c r="G58" s="39"/>
      <c r="H58" s="39"/>
      <c r="I58" s="61"/>
      <c r="J58" s="39"/>
      <c r="K58" s="39"/>
      <c r="L58" s="39"/>
      <c r="M58" s="39"/>
      <c r="N58" s="39"/>
      <c r="O58" s="42"/>
    </row>
    <row r="59" spans="1:15" ht="15.75" customHeight="1" x14ac:dyDescent="0.35">
      <c r="A59" s="41" t="s">
        <v>10</v>
      </c>
      <c r="B59" s="46"/>
      <c r="C59" s="39"/>
      <c r="D59" s="39"/>
      <c r="E59" s="39"/>
      <c r="F59" s="39"/>
      <c r="G59" s="39"/>
      <c r="H59" s="39"/>
      <c r="I59" s="61"/>
      <c r="J59" s="39"/>
      <c r="K59" s="39"/>
      <c r="L59" s="39"/>
      <c r="M59" s="39"/>
      <c r="N59" s="39"/>
      <c r="O59" s="42"/>
    </row>
    <row r="60" spans="1:15" ht="15.75" customHeight="1" x14ac:dyDescent="0.35">
      <c r="A60" s="45" t="s">
        <v>135</v>
      </c>
      <c r="B60" s="39"/>
      <c r="C60" s="39"/>
      <c r="D60" s="39"/>
      <c r="E60" s="39"/>
      <c r="F60" s="39"/>
      <c r="G60" s="39"/>
      <c r="H60" s="39"/>
      <c r="I60" s="61" t="s">
        <v>140</v>
      </c>
      <c r="J60" s="39"/>
      <c r="K60" s="39"/>
      <c r="L60" s="39"/>
      <c r="M60" s="39"/>
      <c r="N60" s="39"/>
      <c r="O60" s="42"/>
    </row>
    <row r="61" spans="1:15" ht="15.75" customHeight="1" x14ac:dyDescent="0.35">
      <c r="A61" s="47" t="s">
        <v>136</v>
      </c>
      <c r="B61" s="39"/>
      <c r="C61" s="39"/>
      <c r="D61" s="39"/>
      <c r="E61" s="39"/>
      <c r="F61" s="39"/>
      <c r="G61" s="39"/>
      <c r="H61" s="39"/>
      <c r="I61" s="61"/>
      <c r="J61" s="39"/>
      <c r="K61" s="39"/>
      <c r="L61" s="39"/>
      <c r="M61" s="39"/>
      <c r="N61" s="39"/>
      <c r="O61" s="42"/>
    </row>
    <row r="62" spans="1:15" ht="15.75" customHeight="1" x14ac:dyDescent="0.35">
      <c r="A62" s="43" t="s">
        <v>12</v>
      </c>
      <c r="B62" s="39"/>
      <c r="C62" s="39"/>
      <c r="D62" s="39"/>
      <c r="E62" s="39"/>
      <c r="F62" s="39"/>
      <c r="G62" s="39"/>
      <c r="H62" s="39"/>
      <c r="I62" s="61" t="s">
        <v>139</v>
      </c>
      <c r="J62" s="39"/>
      <c r="K62" s="39"/>
      <c r="L62" s="39"/>
      <c r="M62" s="39"/>
      <c r="N62" s="39"/>
      <c r="O62" s="42"/>
    </row>
    <row r="63" spans="1:15" ht="15.75" customHeight="1" x14ac:dyDescent="0.35">
      <c r="A63" s="44"/>
      <c r="B63" s="39"/>
      <c r="C63" s="39"/>
      <c r="D63" s="39"/>
      <c r="E63" s="39"/>
      <c r="F63" s="39"/>
      <c r="G63" s="39"/>
      <c r="H63" s="39"/>
      <c r="I63" s="61"/>
      <c r="J63" s="39"/>
      <c r="K63" s="39"/>
      <c r="L63" s="39"/>
      <c r="M63" s="39"/>
      <c r="N63" s="39"/>
      <c r="O63" s="42"/>
    </row>
    <row r="64" spans="1:15" ht="15.75" customHeight="1" x14ac:dyDescent="0.35">
      <c r="A64" s="41" t="s">
        <v>13</v>
      </c>
      <c r="B64" s="46"/>
      <c r="C64" s="39"/>
      <c r="D64" s="39"/>
      <c r="E64" s="39"/>
      <c r="F64" s="39"/>
      <c r="G64" s="39"/>
      <c r="H64" s="39"/>
      <c r="I64" s="61"/>
      <c r="J64" s="39"/>
      <c r="K64" s="39"/>
      <c r="L64" s="39"/>
      <c r="M64" s="39"/>
      <c r="N64" s="39"/>
      <c r="O64" s="42"/>
    </row>
    <row r="65" spans="1:15" ht="15.75" customHeight="1" x14ac:dyDescent="0.35">
      <c r="A65" s="43" t="s">
        <v>14</v>
      </c>
      <c r="B65" s="39"/>
      <c r="C65" s="39"/>
      <c r="D65" s="39"/>
      <c r="E65" s="39"/>
      <c r="F65" s="39"/>
      <c r="G65" s="39"/>
      <c r="H65" s="39"/>
      <c r="I65" s="61" t="s">
        <v>150</v>
      </c>
      <c r="J65" s="39"/>
      <c r="K65" s="39"/>
      <c r="L65" s="39"/>
      <c r="M65" s="39"/>
      <c r="N65" s="39"/>
      <c r="O65" s="42"/>
    </row>
    <row r="66" spans="1:15" ht="15.75" customHeight="1" x14ac:dyDescent="0.35">
      <c r="A66" s="43" t="s">
        <v>15</v>
      </c>
      <c r="B66" s="39"/>
      <c r="C66" s="39"/>
      <c r="D66" s="39"/>
      <c r="E66" s="39"/>
      <c r="F66" s="39"/>
      <c r="G66" s="39"/>
      <c r="H66" s="39"/>
      <c r="I66" s="61" t="s">
        <v>143</v>
      </c>
      <c r="J66" s="39"/>
      <c r="K66" s="39"/>
      <c r="L66" s="39"/>
      <c r="M66" s="39"/>
      <c r="N66" s="39"/>
      <c r="O66" s="42"/>
    </row>
    <row r="67" spans="1:15" ht="15.75" customHeight="1" x14ac:dyDescent="0.35">
      <c r="A67" s="44"/>
      <c r="B67" s="39"/>
      <c r="C67" s="39"/>
      <c r="D67" s="39"/>
      <c r="E67" s="39"/>
      <c r="F67" s="39"/>
      <c r="G67" s="39"/>
      <c r="H67" s="39"/>
      <c r="I67" s="61"/>
      <c r="J67" s="39"/>
      <c r="K67" s="39"/>
      <c r="L67" s="39"/>
      <c r="M67" s="39"/>
      <c r="N67" s="39"/>
      <c r="O67" s="42"/>
    </row>
    <row r="68" spans="1:15" ht="15.75" customHeight="1" x14ac:dyDescent="0.35">
      <c r="A68" s="41" t="s">
        <v>16</v>
      </c>
      <c r="B68" s="46"/>
      <c r="C68" s="39"/>
      <c r="D68" s="39"/>
      <c r="E68" s="39"/>
      <c r="F68" s="39"/>
      <c r="G68" s="39"/>
      <c r="H68" s="39"/>
      <c r="I68" s="61"/>
      <c r="J68" s="39"/>
      <c r="K68" s="39"/>
      <c r="L68" s="39"/>
      <c r="M68" s="39"/>
      <c r="N68" s="39"/>
      <c r="O68" s="42"/>
    </row>
    <row r="69" spans="1:15" ht="15.75" customHeight="1" x14ac:dyDescent="0.35">
      <c r="A69" s="43" t="s">
        <v>17</v>
      </c>
      <c r="B69" s="39"/>
      <c r="C69" s="39"/>
      <c r="D69" s="39"/>
      <c r="E69" s="39"/>
      <c r="F69" s="39"/>
      <c r="G69" s="39"/>
      <c r="H69" s="39"/>
      <c r="I69" s="61" t="s">
        <v>197</v>
      </c>
      <c r="J69" s="39"/>
      <c r="K69" s="39"/>
      <c r="L69" s="39"/>
      <c r="M69" s="39"/>
      <c r="N69" s="39"/>
      <c r="O69" s="42"/>
    </row>
    <row r="70" spans="1:15" ht="15.75" customHeight="1" x14ac:dyDescent="0.35">
      <c r="A70" s="45" t="s">
        <v>144</v>
      </c>
      <c r="B70" s="39"/>
      <c r="C70" s="39"/>
      <c r="D70" s="39"/>
      <c r="E70" s="39"/>
      <c r="F70" s="39"/>
      <c r="G70" s="39"/>
      <c r="H70" s="39"/>
      <c r="I70" s="61" t="s">
        <v>146</v>
      </c>
      <c r="J70" s="39"/>
      <c r="K70" s="39"/>
      <c r="L70" s="39"/>
      <c r="M70" s="39"/>
      <c r="N70" s="39"/>
      <c r="O70" s="42"/>
    </row>
    <row r="71" spans="1:15" ht="15.75" customHeight="1" x14ac:dyDescent="0.35">
      <c r="A71" s="48" t="s">
        <v>145</v>
      </c>
      <c r="B71" s="49"/>
      <c r="C71" s="49"/>
      <c r="D71" s="49"/>
      <c r="E71" s="49"/>
      <c r="F71" s="49"/>
      <c r="G71" s="49"/>
      <c r="H71" s="49"/>
      <c r="I71" s="64"/>
      <c r="J71" s="49"/>
      <c r="K71" s="49"/>
      <c r="L71" s="49"/>
      <c r="M71" s="49"/>
      <c r="N71" s="49"/>
      <c r="O71" s="50"/>
    </row>
    <row r="72" spans="1:15" ht="15.75" customHeight="1" x14ac:dyDescent="0.25"/>
    <row r="73" spans="1:15" ht="15.75" customHeight="1" x14ac:dyDescent="0.25"/>
    <row r="74" spans="1:15" ht="15.75" customHeight="1" x14ac:dyDescent="0.25"/>
    <row r="75" spans="1:15" ht="15.75" customHeight="1" x14ac:dyDescent="0.25"/>
    <row r="76" spans="1:15" ht="15.75" customHeight="1" x14ac:dyDescent="0.25"/>
    <row r="77" spans="1:15" ht="15.75" customHeight="1" x14ac:dyDescent="0.25"/>
    <row r="78" spans="1:15" ht="15.75" customHeight="1" x14ac:dyDescent="0.25"/>
    <row r="79" spans="1:15" ht="15.75" customHeight="1" x14ac:dyDescent="0.25"/>
    <row r="80" spans="1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autoFilter ref="A1:F32" xr:uid="{73080C37-F71B-4856-A143-B45E3824BD09}"/>
  <conditionalFormatting sqref="D1">
    <cfRule type="colorScale" priority="5">
      <colorScale>
        <cfvo type="min"/>
        <cfvo type="max"/>
        <color theme="7" tint="0.79998168889431442"/>
        <color theme="7" tint="0.39997558519241921"/>
      </colorScale>
    </cfRule>
  </conditionalFormatting>
  <conditionalFormatting sqref="D2: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{C4E01224-C33F-4994-B3CA-91C535ABFE44}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E01224-C33F-4994-B3CA-91C535ABF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  <x14:conditionalFormatting xmlns:xm="http://schemas.microsoft.com/office/excel/2006/main">
          <x14:cfRule type="containsText" priority="3" operator="containsText" id="{C7E37DBF-A7C7-4E39-8BB0-9610A7804A92}">
            <xm:f>NOT(ISERROR(SEARCH($F$2,F2)))</xm:f>
            <xm:f>$F$2</xm:f>
            <x14:dxf>
              <fill>
                <patternFill>
                  <bgColor theme="8" tint="0.59996337778862885"/>
                </patternFill>
              </fill>
            </x14:dxf>
          </x14:cfRule>
          <x14:cfRule type="containsText" priority="4" operator="containsText" id="{56A50091-F77F-4353-9E61-DA46CFAA4108}">
            <xm:f>NOT(ISERROR(SEARCH($F$2,F2)))</xm:f>
            <xm:f>$F$2</xm:f>
            <x14:dxf/>
          </x14:cfRule>
          <xm:sqref>F2:F32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1A86-F164-47DE-89C9-65D80CFE5013}">
  <sheetPr>
    <tabColor theme="5" tint="0.59999389629810485"/>
  </sheetPr>
  <dimension ref="A1:I36"/>
  <sheetViews>
    <sheetView tabSelected="1" topLeftCell="A19" zoomScaleNormal="100" workbookViewId="0">
      <selection activeCell="G1" sqref="G1:G1048576"/>
    </sheetView>
  </sheetViews>
  <sheetFormatPr defaultRowHeight="12.5" x14ac:dyDescent="0.25"/>
  <cols>
    <col min="1" max="1" width="20.1796875" bestFit="1" customWidth="1"/>
    <col min="2" max="2" width="15" bestFit="1" customWidth="1"/>
    <col min="3" max="3" width="15.36328125" bestFit="1" customWidth="1"/>
    <col min="4" max="4" width="13.6328125" bestFit="1" customWidth="1"/>
    <col min="5" max="5" width="10.26953125" bestFit="1" customWidth="1"/>
    <col min="6" max="6" width="10.453125" bestFit="1" customWidth="1"/>
    <col min="7" max="7" width="10.90625" bestFit="1" customWidth="1"/>
    <col min="8" max="8" width="21.1796875" bestFit="1" customWidth="1"/>
  </cols>
  <sheetData>
    <row r="1" spans="1:9" ht="15" customHeight="1" x14ac:dyDescent="0.3">
      <c r="A1" t="s">
        <v>137</v>
      </c>
      <c r="B1" t="s">
        <v>138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141</v>
      </c>
      <c r="I1" s="58" t="s">
        <v>198</v>
      </c>
    </row>
    <row r="2" spans="1:9" ht="15" customHeight="1" x14ac:dyDescent="0.25">
      <c r="A2" s="66">
        <v>45685</v>
      </c>
      <c r="B2" s="65" t="s">
        <v>153</v>
      </c>
      <c r="C2" s="67" t="s">
        <v>61</v>
      </c>
      <c r="D2" s="67" t="s">
        <v>27</v>
      </c>
      <c r="E2" s="68">
        <v>1000</v>
      </c>
      <c r="F2" s="69">
        <v>30</v>
      </c>
      <c r="G2" s="67" t="s">
        <v>28</v>
      </c>
      <c r="H2" s="67" t="s">
        <v>154</v>
      </c>
    </row>
    <row r="3" spans="1:9" ht="15" customHeight="1" x14ac:dyDescent="0.25">
      <c r="A3" s="66">
        <v>45703</v>
      </c>
      <c r="B3" s="65" t="s">
        <v>153</v>
      </c>
      <c r="C3" s="67" t="s">
        <v>30</v>
      </c>
      <c r="D3" s="67" t="s">
        <v>31</v>
      </c>
      <c r="E3" s="68">
        <v>80</v>
      </c>
      <c r="F3" s="69">
        <v>15</v>
      </c>
      <c r="G3" s="67" t="s">
        <v>32</v>
      </c>
      <c r="H3" s="67" t="s">
        <v>155</v>
      </c>
    </row>
    <row r="4" spans="1:9" ht="15" customHeight="1" x14ac:dyDescent="0.25">
      <c r="A4" s="66">
        <v>45719</v>
      </c>
      <c r="B4" s="65" t="s">
        <v>153</v>
      </c>
      <c r="C4" s="67" t="s">
        <v>34</v>
      </c>
      <c r="D4" s="67" t="s">
        <v>35</v>
      </c>
      <c r="E4" s="68">
        <v>130</v>
      </c>
      <c r="F4" s="69">
        <v>40</v>
      </c>
      <c r="G4" s="67" t="s">
        <v>36</v>
      </c>
      <c r="H4" s="67" t="s">
        <v>156</v>
      </c>
    </row>
    <row r="5" spans="1:9" ht="15" customHeight="1" x14ac:dyDescent="0.25">
      <c r="A5" s="66">
        <v>45758</v>
      </c>
      <c r="B5" s="65" t="s">
        <v>153</v>
      </c>
      <c r="C5" s="67" t="s">
        <v>96</v>
      </c>
      <c r="D5" s="67" t="s">
        <v>39</v>
      </c>
      <c r="E5" s="68">
        <v>900</v>
      </c>
      <c r="F5" s="69">
        <v>25</v>
      </c>
      <c r="G5" s="67" t="s">
        <v>28</v>
      </c>
      <c r="H5" s="67" t="s">
        <v>157</v>
      </c>
    </row>
    <row r="6" spans="1:9" ht="15" customHeight="1" x14ac:dyDescent="0.25">
      <c r="A6" s="66">
        <v>45799</v>
      </c>
      <c r="B6" s="65" t="s">
        <v>153</v>
      </c>
      <c r="C6" s="67" t="s">
        <v>41</v>
      </c>
      <c r="D6" s="67" t="s">
        <v>42</v>
      </c>
      <c r="E6" s="68">
        <v>70</v>
      </c>
      <c r="F6" s="69">
        <v>20</v>
      </c>
      <c r="G6" s="67" t="s">
        <v>28</v>
      </c>
      <c r="H6" s="67" t="s">
        <v>158</v>
      </c>
    </row>
    <row r="7" spans="1:9" ht="15" customHeight="1" x14ac:dyDescent="0.25">
      <c r="A7" s="66">
        <v>45815</v>
      </c>
      <c r="B7" s="65" t="s">
        <v>159</v>
      </c>
      <c r="C7" s="67" t="s">
        <v>44</v>
      </c>
      <c r="D7" s="67" t="s">
        <v>45</v>
      </c>
      <c r="E7" s="68">
        <v>297.85000000000002</v>
      </c>
      <c r="F7" s="69">
        <v>45</v>
      </c>
      <c r="G7" s="67" t="s">
        <v>28</v>
      </c>
      <c r="H7" s="67" t="s">
        <v>160</v>
      </c>
    </row>
    <row r="8" spans="1:9" ht="15" customHeight="1" x14ac:dyDescent="0.25">
      <c r="A8" s="66">
        <v>45857</v>
      </c>
      <c r="B8" s="65" t="s">
        <v>159</v>
      </c>
      <c r="C8" s="67" t="s">
        <v>161</v>
      </c>
      <c r="D8" s="67" t="s">
        <v>49</v>
      </c>
      <c r="E8" s="68">
        <v>30</v>
      </c>
      <c r="F8" s="69">
        <v>5</v>
      </c>
      <c r="G8" s="67" t="s">
        <v>32</v>
      </c>
      <c r="H8" s="67" t="s">
        <v>162</v>
      </c>
    </row>
    <row r="9" spans="1:9" ht="15" customHeight="1" x14ac:dyDescent="0.25">
      <c r="A9" s="66">
        <v>45892</v>
      </c>
      <c r="B9" s="65" t="s">
        <v>159</v>
      </c>
      <c r="C9" s="67" t="s">
        <v>51</v>
      </c>
      <c r="D9" s="67" t="s">
        <v>52</v>
      </c>
      <c r="E9" s="68">
        <v>90</v>
      </c>
      <c r="F9" s="69">
        <v>35</v>
      </c>
      <c r="G9" s="67" t="s">
        <v>36</v>
      </c>
      <c r="H9" s="67" t="s">
        <v>163</v>
      </c>
    </row>
    <row r="10" spans="1:9" ht="15" customHeight="1" x14ac:dyDescent="0.25">
      <c r="A10" s="66">
        <v>45905</v>
      </c>
      <c r="B10" s="65" t="s">
        <v>159</v>
      </c>
      <c r="C10" s="67" t="s">
        <v>54</v>
      </c>
      <c r="D10" s="67" t="s">
        <v>55</v>
      </c>
      <c r="E10" s="68">
        <v>500</v>
      </c>
      <c r="F10" s="69">
        <v>50</v>
      </c>
      <c r="G10" s="67" t="s">
        <v>28</v>
      </c>
      <c r="H10" s="67" t="s">
        <v>164</v>
      </c>
    </row>
    <row r="11" spans="1:9" ht="15" customHeight="1" x14ac:dyDescent="0.25">
      <c r="A11" s="66">
        <v>45944</v>
      </c>
      <c r="B11" s="65" t="s">
        <v>159</v>
      </c>
      <c r="C11" s="67" t="s">
        <v>57</v>
      </c>
      <c r="D11" s="67" t="s">
        <v>58</v>
      </c>
      <c r="E11" s="68">
        <v>130</v>
      </c>
      <c r="F11" s="69">
        <v>10</v>
      </c>
      <c r="G11" s="67" t="s">
        <v>59</v>
      </c>
      <c r="H11" s="67" t="s">
        <v>165</v>
      </c>
    </row>
    <row r="12" spans="1:9" ht="15" customHeight="1" x14ac:dyDescent="0.25">
      <c r="A12" s="66">
        <v>45825</v>
      </c>
      <c r="B12" s="65" t="s">
        <v>166</v>
      </c>
      <c r="C12" s="67" t="s">
        <v>61</v>
      </c>
      <c r="D12" s="67" t="s">
        <v>62</v>
      </c>
      <c r="E12" s="68">
        <v>950</v>
      </c>
      <c r="F12" s="69">
        <v>25</v>
      </c>
      <c r="G12" s="67" t="s">
        <v>28</v>
      </c>
      <c r="H12" s="67" t="s">
        <v>167</v>
      </c>
    </row>
    <row r="13" spans="1:9" ht="15" customHeight="1" x14ac:dyDescent="0.25">
      <c r="A13" s="66">
        <v>45986</v>
      </c>
      <c r="B13" s="65" t="s">
        <v>168</v>
      </c>
      <c r="C13" s="67" t="s">
        <v>30</v>
      </c>
      <c r="D13" s="67" t="s">
        <v>49</v>
      </c>
      <c r="E13" s="68">
        <v>90</v>
      </c>
      <c r="F13" s="69">
        <v>40</v>
      </c>
      <c r="G13" s="67" t="s">
        <v>28</v>
      </c>
      <c r="H13" s="67" t="s">
        <v>169</v>
      </c>
    </row>
    <row r="14" spans="1:9" ht="15" customHeight="1" x14ac:dyDescent="0.25">
      <c r="A14" s="66">
        <v>45999</v>
      </c>
      <c r="B14" s="65" t="s">
        <v>170</v>
      </c>
      <c r="C14" s="67" t="s">
        <v>34</v>
      </c>
      <c r="D14" s="67" t="s">
        <v>65</v>
      </c>
      <c r="E14" s="68">
        <v>120</v>
      </c>
      <c r="F14" s="69">
        <v>35</v>
      </c>
      <c r="G14" s="67" t="s">
        <v>28</v>
      </c>
      <c r="H14" s="67" t="s">
        <v>171</v>
      </c>
    </row>
    <row r="15" spans="1:9" ht="15" customHeight="1" x14ac:dyDescent="0.25">
      <c r="A15" s="66">
        <v>45706</v>
      </c>
      <c r="B15" s="65" t="s">
        <v>172</v>
      </c>
      <c r="C15" s="67" t="s">
        <v>67</v>
      </c>
      <c r="D15" s="67" t="s">
        <v>68</v>
      </c>
      <c r="E15" s="68">
        <v>150</v>
      </c>
      <c r="F15" s="69">
        <v>15</v>
      </c>
      <c r="G15" s="67" t="s">
        <v>28</v>
      </c>
      <c r="H15" s="67" t="s">
        <v>173</v>
      </c>
    </row>
    <row r="16" spans="1:9" ht="15" customHeight="1" x14ac:dyDescent="0.25">
      <c r="A16" s="66">
        <v>45763</v>
      </c>
      <c r="B16" s="65" t="s">
        <v>174</v>
      </c>
      <c r="C16" s="67" t="s">
        <v>44</v>
      </c>
      <c r="D16" s="67" t="s">
        <v>71</v>
      </c>
      <c r="E16" s="68">
        <v>250</v>
      </c>
      <c r="F16" s="69">
        <v>20</v>
      </c>
      <c r="G16" s="67" t="s">
        <v>28</v>
      </c>
      <c r="H16" s="67" t="s">
        <v>175</v>
      </c>
    </row>
    <row r="17" spans="1:8" ht="15" customHeight="1" x14ac:dyDescent="0.25">
      <c r="A17" s="66">
        <v>45890</v>
      </c>
      <c r="B17" s="65" t="s">
        <v>172</v>
      </c>
      <c r="C17" s="67" t="s">
        <v>73</v>
      </c>
      <c r="D17" s="67" t="s">
        <v>74</v>
      </c>
      <c r="E17" s="68">
        <v>50</v>
      </c>
      <c r="F17" s="69">
        <v>35</v>
      </c>
      <c r="G17" s="67" t="s">
        <v>75</v>
      </c>
      <c r="H17" s="67" t="s">
        <v>176</v>
      </c>
    </row>
    <row r="18" spans="1:8" ht="15" customHeight="1" x14ac:dyDescent="0.25">
      <c r="A18" s="66">
        <v>45889</v>
      </c>
      <c r="B18" s="65" t="s">
        <v>177</v>
      </c>
      <c r="C18" s="67" t="s">
        <v>67</v>
      </c>
      <c r="D18" s="67" t="s">
        <v>77</v>
      </c>
      <c r="E18" s="68">
        <v>160</v>
      </c>
      <c r="F18" s="69">
        <v>15</v>
      </c>
      <c r="G18" s="67" t="s">
        <v>28</v>
      </c>
      <c r="H18" s="67" t="s">
        <v>178</v>
      </c>
    </row>
    <row r="19" spans="1:8" ht="15" customHeight="1" x14ac:dyDescent="0.25">
      <c r="A19" s="66">
        <v>45684</v>
      </c>
      <c r="B19" s="65" t="s">
        <v>179</v>
      </c>
      <c r="C19" s="67" t="s">
        <v>61</v>
      </c>
      <c r="D19" s="67" t="s">
        <v>79</v>
      </c>
      <c r="E19" s="68">
        <v>980</v>
      </c>
      <c r="F19" s="69">
        <v>10</v>
      </c>
      <c r="G19" s="67" t="s">
        <v>28</v>
      </c>
      <c r="H19" s="67" t="s">
        <v>180</v>
      </c>
    </row>
    <row r="20" spans="1:8" ht="15" customHeight="1" x14ac:dyDescent="0.25">
      <c r="A20" s="66">
        <v>45717</v>
      </c>
      <c r="B20" s="65" t="s">
        <v>159</v>
      </c>
      <c r="C20" s="67" t="s">
        <v>81</v>
      </c>
      <c r="D20" s="67" t="s">
        <v>82</v>
      </c>
      <c r="E20" s="68">
        <v>150</v>
      </c>
      <c r="F20" s="69">
        <v>15</v>
      </c>
      <c r="G20" s="67" t="s">
        <v>32</v>
      </c>
      <c r="H20" s="67" t="s">
        <v>181</v>
      </c>
    </row>
    <row r="21" spans="1:8" ht="15" customHeight="1" x14ac:dyDescent="0.25">
      <c r="A21" s="66">
        <v>45883</v>
      </c>
      <c r="B21" s="65" t="s">
        <v>153</v>
      </c>
      <c r="C21" s="67" t="s">
        <v>84</v>
      </c>
      <c r="D21" s="67" t="s">
        <v>85</v>
      </c>
      <c r="E21" s="68">
        <v>297.85000000000002</v>
      </c>
      <c r="F21" s="69">
        <v>10</v>
      </c>
      <c r="G21" s="67" t="s">
        <v>59</v>
      </c>
      <c r="H21" s="67" t="s">
        <v>182</v>
      </c>
    </row>
    <row r="22" spans="1:8" ht="15" customHeight="1" x14ac:dyDescent="0.25">
      <c r="A22" s="66">
        <v>45791</v>
      </c>
      <c r="B22" s="65" t="s">
        <v>183</v>
      </c>
      <c r="C22" s="67" t="s">
        <v>87</v>
      </c>
      <c r="D22" s="67" t="s">
        <v>88</v>
      </c>
      <c r="E22" s="68">
        <v>700</v>
      </c>
      <c r="F22" s="69">
        <v>50</v>
      </c>
      <c r="G22" s="67" t="s">
        <v>28</v>
      </c>
      <c r="H22" s="67" t="s">
        <v>184</v>
      </c>
    </row>
    <row r="23" spans="1:8" ht="15" customHeight="1" x14ac:dyDescent="0.25">
      <c r="A23" s="66">
        <v>45666</v>
      </c>
      <c r="B23" s="65" t="s">
        <v>172</v>
      </c>
      <c r="C23" s="67" t="s">
        <v>90</v>
      </c>
      <c r="D23" s="67" t="s">
        <v>91</v>
      </c>
      <c r="E23" s="68">
        <v>80</v>
      </c>
      <c r="F23" s="69">
        <v>20</v>
      </c>
      <c r="G23" s="67" t="s">
        <v>36</v>
      </c>
      <c r="H23" s="67" t="s">
        <v>185</v>
      </c>
    </row>
    <row r="24" spans="1:8" ht="15" customHeight="1" x14ac:dyDescent="0.25">
      <c r="A24" s="66">
        <v>45857</v>
      </c>
      <c r="B24" s="65" t="s">
        <v>186</v>
      </c>
      <c r="C24" s="67" t="s">
        <v>93</v>
      </c>
      <c r="D24" s="67" t="s">
        <v>94</v>
      </c>
      <c r="E24" s="68">
        <v>150</v>
      </c>
      <c r="F24" s="69">
        <v>30</v>
      </c>
      <c r="G24" s="67" t="s">
        <v>28</v>
      </c>
      <c r="H24" s="67" t="s">
        <v>187</v>
      </c>
    </row>
    <row r="25" spans="1:8" ht="15" customHeight="1" x14ac:dyDescent="0.25">
      <c r="A25" s="66">
        <v>45929</v>
      </c>
      <c r="B25" s="65" t="s">
        <v>172</v>
      </c>
      <c r="C25" s="67" t="s">
        <v>96</v>
      </c>
      <c r="D25" s="67" t="s">
        <v>97</v>
      </c>
      <c r="E25" s="68">
        <v>800</v>
      </c>
      <c r="F25" s="69">
        <v>45</v>
      </c>
      <c r="G25" s="67" t="s">
        <v>28</v>
      </c>
      <c r="H25" s="67" t="s">
        <v>188</v>
      </c>
    </row>
    <row r="26" spans="1:8" ht="15" customHeight="1" x14ac:dyDescent="0.25">
      <c r="A26" s="66">
        <v>45811</v>
      </c>
      <c r="B26" s="65" t="s">
        <v>172</v>
      </c>
      <c r="C26" s="67" t="s">
        <v>81</v>
      </c>
      <c r="D26" s="67" t="s">
        <v>99</v>
      </c>
      <c r="E26" s="68">
        <v>297.85000000000002</v>
      </c>
      <c r="F26" s="69">
        <v>25</v>
      </c>
      <c r="G26" s="67" t="s">
        <v>32</v>
      </c>
      <c r="H26" s="67" t="s">
        <v>189</v>
      </c>
    </row>
    <row r="27" spans="1:8" ht="15" customHeight="1" x14ac:dyDescent="0.25">
      <c r="A27" s="66">
        <v>45849</v>
      </c>
      <c r="B27" s="65" t="s">
        <v>172</v>
      </c>
      <c r="C27" s="67" t="s">
        <v>51</v>
      </c>
      <c r="D27" s="67" t="s">
        <v>101</v>
      </c>
      <c r="E27" s="68">
        <v>400</v>
      </c>
      <c r="F27" s="69">
        <v>40</v>
      </c>
      <c r="G27" s="67" t="s">
        <v>36</v>
      </c>
      <c r="H27" s="67" t="s">
        <v>190</v>
      </c>
    </row>
    <row r="28" spans="1:8" ht="15" customHeight="1" x14ac:dyDescent="0.25">
      <c r="A28" s="66">
        <v>45723</v>
      </c>
      <c r="B28" s="65" t="s">
        <v>172</v>
      </c>
      <c r="C28" s="67" t="s">
        <v>103</v>
      </c>
      <c r="D28" s="67" t="s">
        <v>104</v>
      </c>
      <c r="E28" s="68">
        <v>60</v>
      </c>
      <c r="F28" s="69">
        <v>30</v>
      </c>
      <c r="G28" s="67" t="s">
        <v>32</v>
      </c>
      <c r="H28" s="67" t="s">
        <v>191</v>
      </c>
    </row>
    <row r="29" spans="1:8" ht="15" customHeight="1" x14ac:dyDescent="0.25">
      <c r="A29" s="66">
        <v>45760</v>
      </c>
      <c r="B29" s="65" t="s">
        <v>172</v>
      </c>
      <c r="C29" s="67" t="s">
        <v>106</v>
      </c>
      <c r="D29" s="67" t="s">
        <v>107</v>
      </c>
      <c r="E29" s="68">
        <v>40</v>
      </c>
      <c r="F29" s="69">
        <v>10</v>
      </c>
      <c r="G29" s="67" t="s">
        <v>36</v>
      </c>
      <c r="H29" s="67" t="s">
        <v>192</v>
      </c>
    </row>
    <row r="30" spans="1:8" ht="15" customHeight="1" x14ac:dyDescent="0.25">
      <c r="A30" s="66">
        <v>45801</v>
      </c>
      <c r="B30" s="65" t="s">
        <v>172</v>
      </c>
      <c r="C30" s="67" t="s">
        <v>93</v>
      </c>
      <c r="D30" s="67" t="s">
        <v>109</v>
      </c>
      <c r="E30" s="68">
        <v>130</v>
      </c>
      <c r="F30" s="69">
        <v>5</v>
      </c>
      <c r="G30" s="67" t="s">
        <v>28</v>
      </c>
      <c r="H30" s="67" t="s">
        <v>193</v>
      </c>
    </row>
    <row r="31" spans="1:8" ht="15" customHeight="1" x14ac:dyDescent="0.25">
      <c r="A31" s="66">
        <v>45993</v>
      </c>
      <c r="B31" s="65" t="s">
        <v>172</v>
      </c>
      <c r="C31" s="67" t="s">
        <v>111</v>
      </c>
      <c r="D31" s="67" t="s">
        <v>112</v>
      </c>
      <c r="E31" s="68">
        <v>50</v>
      </c>
      <c r="F31" s="69">
        <v>50</v>
      </c>
      <c r="G31" s="67" t="s">
        <v>32</v>
      </c>
      <c r="H31" s="67" t="s">
        <v>194</v>
      </c>
    </row>
    <row r="32" spans="1:8" ht="15" customHeight="1" x14ac:dyDescent="0.25">
      <c r="A32" s="66">
        <v>45847</v>
      </c>
      <c r="B32" s="65" t="s">
        <v>195</v>
      </c>
      <c r="C32" s="67" t="s">
        <v>114</v>
      </c>
      <c r="D32" s="67" t="s">
        <v>115</v>
      </c>
      <c r="E32" s="68">
        <v>100</v>
      </c>
      <c r="F32" s="69">
        <v>20</v>
      </c>
      <c r="G32" s="67" t="s">
        <v>75</v>
      </c>
      <c r="H32" s="67" t="s">
        <v>196</v>
      </c>
    </row>
    <row r="34" spans="1:1" x14ac:dyDescent="0.25">
      <c r="A34" t="s">
        <v>199</v>
      </c>
    </row>
    <row r="35" spans="1:1" x14ac:dyDescent="0.25">
      <c r="A35" t="s">
        <v>200</v>
      </c>
    </row>
    <row r="36" spans="1:1" x14ac:dyDescent="0.25">
      <c r="A36" t="s">
        <v>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FC96-6C7C-4E96-8B39-1DBBF64709D4}">
  <sheetPr>
    <outlinePr summaryBelow="0" summaryRight="0"/>
  </sheetPr>
  <dimension ref="A1:F1000"/>
  <sheetViews>
    <sheetView workbookViewId="0">
      <selection activeCell="H20" sqref="H20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</cols>
  <sheetData>
    <row r="1" spans="1: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727C92-99D4-45A4-966B-6F00B3E73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Dataset</vt:lpstr>
      <vt:lpstr>Assignment2-Excel</vt:lpstr>
      <vt:lpstr>Assignment 2 Tried in PQ</vt:lpstr>
      <vt:lpstr>Data set 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Mani</dc:creator>
  <cp:lastModifiedBy>ranjani manikandan</cp:lastModifiedBy>
  <dcterms:created xsi:type="dcterms:W3CDTF">2025-07-16T06:35:50Z</dcterms:created>
  <dcterms:modified xsi:type="dcterms:W3CDTF">2025-07-21T07:55:41Z</dcterms:modified>
</cp:coreProperties>
</file>